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13_ncr:1_{E7EDFCA7-79F3-41CB-B17C-3AC80AF68FCE}" xr6:coauthVersionLast="47" xr6:coauthVersionMax="47" xr10:uidLastSave="{00000000-0000-0000-0000-000000000000}"/>
  <bookViews>
    <workbookView xWindow="-120" yWindow="-120" windowWidth="29040" windowHeight="15720" tabRatio="898" firstSheet="3" activeTab="8" xr2:uid="{00000000-000D-0000-FFFF-FFFF00000000}"/>
  </bookViews>
  <sheets>
    <sheet name="TP Overview" sheetId="1" r:id="rId1"/>
    <sheet name="51923 TP Flashmap" sheetId="3" r:id="rId2"/>
    <sheet name="51926 TP Flashmap" sheetId="4" r:id="rId3"/>
    <sheet name="51927 TP Flashmap" sheetId="5" r:id="rId4"/>
    <sheet name="51929&amp;51932 TP Flashmap" sheetId="7" r:id="rId5"/>
    <sheet name="51930 TP Flashmap" sheetId="9" r:id="rId6"/>
    <sheet name="51950&amp;51951 TP Flashmap" sheetId="8" r:id="rId7"/>
    <sheet name="51950 DP Perspective" sheetId="2" r:id="rId8"/>
    <sheet name="TP Address Tables" sheetId="11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3" i="1" l="1"/>
  <c r="J143" i="1" s="1"/>
  <c r="E143" i="1"/>
  <c r="F143" i="1" s="1"/>
  <c r="E141" i="1"/>
  <c r="F141" i="1" s="1"/>
  <c r="E139" i="1"/>
  <c r="F139" i="1" s="1"/>
  <c r="E135" i="1"/>
  <c r="F135" i="1" s="1"/>
  <c r="E133" i="1"/>
  <c r="F133" i="1" s="1"/>
  <c r="E131" i="1"/>
  <c r="F131" i="1" s="1"/>
  <c r="E137" i="1"/>
  <c r="F137" i="1" s="1"/>
  <c r="C130" i="1"/>
  <c r="E129" i="1" s="1"/>
  <c r="F129" i="1" s="1"/>
  <c r="C128" i="1"/>
  <c r="E127" i="1" s="1"/>
  <c r="F127" i="1" s="1"/>
  <c r="C126" i="1"/>
  <c r="E125" i="1" s="1"/>
  <c r="F125" i="1" s="1"/>
  <c r="C124" i="1"/>
  <c r="E123" i="1" s="1"/>
  <c r="F123" i="1" s="1"/>
  <c r="C122" i="1"/>
  <c r="E121" i="1" s="1"/>
  <c r="F121" i="1" s="1"/>
  <c r="C120" i="1"/>
  <c r="E119" i="1" s="1"/>
  <c r="F119" i="1" s="1"/>
  <c r="J119" i="1"/>
  <c r="E117" i="1"/>
  <c r="F117" i="1" s="1"/>
  <c r="E115" i="1"/>
  <c r="F115" i="1" s="1"/>
  <c r="J114" i="1"/>
  <c r="J113" i="1"/>
  <c r="E113" i="1"/>
  <c r="F113" i="1" s="1"/>
  <c r="J112" i="1"/>
  <c r="J111" i="1"/>
  <c r="E111" i="1"/>
  <c r="F111" i="1" s="1"/>
  <c r="J110" i="1"/>
  <c r="E109" i="1"/>
  <c r="F109" i="1" s="1"/>
  <c r="J254" i="1"/>
  <c r="B266" i="1"/>
  <c r="B267" i="1" s="1"/>
  <c r="I104" i="1"/>
  <c r="J104" i="1" s="1"/>
  <c r="C259" i="1"/>
  <c r="E258" i="1" s="1"/>
  <c r="F258" i="1" s="1"/>
  <c r="E96" i="1"/>
  <c r="F96" i="1" s="1"/>
  <c r="E194" i="1"/>
  <c r="F194" i="1" s="1"/>
  <c r="C193" i="1"/>
  <c r="E192" i="1" s="1"/>
  <c r="F192" i="1" s="1"/>
  <c r="J160" i="1"/>
  <c r="E355" i="1"/>
  <c r="F355" i="1" s="1"/>
  <c r="E316" i="1"/>
  <c r="F316" i="1" s="1"/>
  <c r="E283" i="1"/>
  <c r="F283" i="1" s="1"/>
  <c r="E281" i="1"/>
  <c r="F281" i="1" s="1"/>
  <c r="E279" i="1"/>
  <c r="F279" i="1" s="1"/>
  <c r="E256" i="1"/>
  <c r="F256" i="1" s="1"/>
  <c r="E223" i="1"/>
  <c r="F223" i="1" s="1"/>
  <c r="E160" i="1"/>
  <c r="F160" i="1" s="1"/>
  <c r="E158" i="1"/>
  <c r="F158" i="1" s="1"/>
  <c r="E78" i="1"/>
  <c r="F78" i="1" s="1"/>
  <c r="E221" i="1"/>
  <c r="F221" i="1" s="1"/>
  <c r="I379" i="1"/>
  <c r="J379" i="1" s="1"/>
  <c r="I340" i="1"/>
  <c r="J340" i="1" s="1"/>
  <c r="I301" i="1"/>
  <c r="J301" i="1" s="1"/>
  <c r="E299" i="1"/>
  <c r="F299" i="1" s="1"/>
  <c r="E297" i="1"/>
  <c r="F297" i="1" s="1"/>
  <c r="C294" i="1"/>
  <c r="C292" i="1"/>
  <c r="C286" i="1"/>
  <c r="I282" i="1"/>
  <c r="J282" i="1" s="1"/>
  <c r="I283" i="1"/>
  <c r="J283" i="1" s="1"/>
  <c r="I280" i="1"/>
  <c r="E301" i="1"/>
  <c r="F301" i="1" s="1"/>
  <c r="J288" i="1"/>
  <c r="J284" i="1"/>
  <c r="J281" i="1"/>
  <c r="J279" i="1"/>
  <c r="E277" i="1"/>
  <c r="F277" i="1" s="1"/>
  <c r="I30" i="1"/>
  <c r="E30" i="1"/>
  <c r="F30" i="1" s="1"/>
  <c r="E28" i="1"/>
  <c r="F28" i="1" s="1"/>
  <c r="E26" i="1"/>
  <c r="F26" i="1" s="1"/>
  <c r="E6" i="1"/>
  <c r="F6" i="1" s="1"/>
  <c r="C25" i="1"/>
  <c r="J11" i="1"/>
  <c r="C23" i="1"/>
  <c r="C21" i="1"/>
  <c r="C19" i="1"/>
  <c r="C17" i="1"/>
  <c r="C15" i="1"/>
  <c r="C13" i="1"/>
  <c r="C11" i="1"/>
  <c r="C9" i="1"/>
  <c r="J15" i="1"/>
  <c r="J10" i="1"/>
  <c r="J9" i="1"/>
  <c r="J8" i="1"/>
  <c r="J7" i="1"/>
  <c r="J6" i="1"/>
  <c r="I272" i="1"/>
  <c r="J272" i="1" s="1"/>
  <c r="E272" i="1"/>
  <c r="F272" i="1" s="1"/>
  <c r="E270" i="1"/>
  <c r="F270" i="1" s="1"/>
  <c r="C269" i="1"/>
  <c r="E268" i="1" s="1"/>
  <c r="F268" i="1" s="1"/>
  <c r="C267" i="1"/>
  <c r="E266" i="1" s="1"/>
  <c r="F266" i="1" s="1"/>
  <c r="C265" i="1"/>
  <c r="C263" i="1"/>
  <c r="C261" i="1"/>
  <c r="J253" i="1"/>
  <c r="J249" i="1"/>
  <c r="J248" i="1"/>
  <c r="J247" i="1"/>
  <c r="J246" i="1"/>
  <c r="J245" i="1"/>
  <c r="E252" i="1"/>
  <c r="F252" i="1" s="1"/>
  <c r="E379" i="1"/>
  <c r="F379" i="1" s="1"/>
  <c r="E377" i="1"/>
  <c r="F377" i="1" s="1"/>
  <c r="E375" i="1"/>
  <c r="F375" i="1" s="1"/>
  <c r="E340" i="1"/>
  <c r="F340" i="1" s="1"/>
  <c r="E338" i="1"/>
  <c r="F338" i="1" s="1"/>
  <c r="E336" i="1"/>
  <c r="F336" i="1" s="1"/>
  <c r="E373" i="1"/>
  <c r="F373" i="1" s="1"/>
  <c r="E371" i="1"/>
  <c r="F371" i="1" s="1"/>
  <c r="E369" i="1"/>
  <c r="F369" i="1" s="1"/>
  <c r="E367" i="1"/>
  <c r="F367" i="1" s="1"/>
  <c r="C366" i="1"/>
  <c r="E365" i="1" s="1"/>
  <c r="F365" i="1" s="1"/>
  <c r="C364" i="1"/>
  <c r="E363" i="1" s="1"/>
  <c r="F363" i="1" s="1"/>
  <c r="C362" i="1"/>
  <c r="E361" i="1" s="1"/>
  <c r="F361" i="1" s="1"/>
  <c r="C360" i="1"/>
  <c r="E359" i="1" s="1"/>
  <c r="F359" i="1" s="1"/>
  <c r="C358" i="1"/>
  <c r="E357" i="1" s="1"/>
  <c r="F357" i="1" s="1"/>
  <c r="J354" i="1"/>
  <c r="E353" i="1"/>
  <c r="F353" i="1" s="1"/>
  <c r="E351" i="1"/>
  <c r="F351" i="1" s="1"/>
  <c r="J350" i="1"/>
  <c r="J349" i="1"/>
  <c r="E349" i="1"/>
  <c r="F349" i="1" s="1"/>
  <c r="J348" i="1"/>
  <c r="J347" i="1"/>
  <c r="E347" i="1"/>
  <c r="F347" i="1" s="1"/>
  <c r="J346" i="1"/>
  <c r="E345" i="1"/>
  <c r="F345" i="1" s="1"/>
  <c r="E334" i="1"/>
  <c r="F334" i="1" s="1"/>
  <c r="E330" i="1"/>
  <c r="F330" i="1" s="1"/>
  <c r="E332" i="1"/>
  <c r="F332" i="1" s="1"/>
  <c r="C327" i="1"/>
  <c r="E328" i="1"/>
  <c r="F328" i="1" s="1"/>
  <c r="C325" i="1"/>
  <c r="C323" i="1"/>
  <c r="C321" i="1"/>
  <c r="C319" i="1"/>
  <c r="J315" i="1"/>
  <c r="J311" i="1"/>
  <c r="J310" i="1"/>
  <c r="J309" i="1"/>
  <c r="J308" i="1"/>
  <c r="J307" i="1"/>
  <c r="I208" i="1"/>
  <c r="J208" i="1" s="1"/>
  <c r="E208" i="1"/>
  <c r="F208" i="1" s="1"/>
  <c r="E206" i="1"/>
  <c r="F206" i="1" s="1"/>
  <c r="E204" i="1"/>
  <c r="F204" i="1" s="1"/>
  <c r="E202" i="1"/>
  <c r="F202" i="1" s="1"/>
  <c r="E200" i="1"/>
  <c r="F200" i="1" s="1"/>
  <c r="E198" i="1"/>
  <c r="F198" i="1" s="1"/>
  <c r="E196" i="1"/>
  <c r="F196" i="1" s="1"/>
  <c r="C191" i="1"/>
  <c r="E190" i="1" s="1"/>
  <c r="F190" i="1" s="1"/>
  <c r="C189" i="1"/>
  <c r="E188" i="1" s="1"/>
  <c r="F188" i="1" s="1"/>
  <c r="C183" i="1"/>
  <c r="E182" i="1" s="1"/>
  <c r="F182" i="1" s="1"/>
  <c r="C181" i="1"/>
  <c r="E180" i="1" s="1"/>
  <c r="F180" i="1" s="1"/>
  <c r="C179" i="1"/>
  <c r="E178" i="1" s="1"/>
  <c r="F178" i="1" s="1"/>
  <c r="C173" i="1"/>
  <c r="E172" i="1" s="1"/>
  <c r="F172" i="1" s="1"/>
  <c r="C171" i="1"/>
  <c r="E170" i="1" s="1"/>
  <c r="F170" i="1" s="1"/>
  <c r="I65" i="1"/>
  <c r="J65" i="1" s="1"/>
  <c r="C169" i="1"/>
  <c r="C163" i="1"/>
  <c r="I158" i="1"/>
  <c r="J158" i="1" s="1"/>
  <c r="J159" i="1"/>
  <c r="E148" i="1"/>
  <c r="F148" i="1" s="1"/>
  <c r="I153" i="1"/>
  <c r="C167" i="1" s="1"/>
  <c r="I152" i="1"/>
  <c r="J152" i="1" s="1"/>
  <c r="I150" i="1"/>
  <c r="C165" i="1" s="1"/>
  <c r="J151" i="1"/>
  <c r="J149" i="1"/>
  <c r="E104" i="1"/>
  <c r="F104" i="1" s="1"/>
  <c r="E102" i="1"/>
  <c r="F102" i="1" s="1"/>
  <c r="E100" i="1"/>
  <c r="F100" i="1" s="1"/>
  <c r="E94" i="1"/>
  <c r="F94" i="1" s="1"/>
  <c r="E92" i="1"/>
  <c r="F92" i="1" s="1"/>
  <c r="E98" i="1"/>
  <c r="F98" i="1" s="1"/>
  <c r="C91" i="1"/>
  <c r="E90" i="1" s="1"/>
  <c r="F90" i="1" s="1"/>
  <c r="C89" i="1"/>
  <c r="C87" i="1"/>
  <c r="C85" i="1"/>
  <c r="C83" i="1"/>
  <c r="C81" i="1"/>
  <c r="E76" i="1"/>
  <c r="F76" i="1" s="1"/>
  <c r="E74" i="1"/>
  <c r="F74" i="1" s="1"/>
  <c r="E72" i="1"/>
  <c r="F72" i="1" s="1"/>
  <c r="E70" i="1"/>
  <c r="F70" i="1" s="1"/>
  <c r="J80" i="1"/>
  <c r="J75" i="1"/>
  <c r="J74" i="1"/>
  <c r="J73" i="1"/>
  <c r="J72" i="1"/>
  <c r="J71" i="1"/>
  <c r="C232" i="1"/>
  <c r="E231" i="1" s="1"/>
  <c r="F231" i="1" s="1"/>
  <c r="J222" i="1"/>
  <c r="C56" i="1"/>
  <c r="E55" i="1" s="1"/>
  <c r="F55" i="1" s="1"/>
  <c r="J45" i="1"/>
  <c r="E65" i="1"/>
  <c r="F65" i="1" s="1"/>
  <c r="E63" i="1"/>
  <c r="F63" i="1" s="1"/>
  <c r="E61" i="1"/>
  <c r="F61" i="1" s="1"/>
  <c r="E57" i="1"/>
  <c r="F57" i="1" s="1"/>
  <c r="I39" i="1"/>
  <c r="J39" i="1" s="1"/>
  <c r="C54" i="1"/>
  <c r="E53" i="1" s="1"/>
  <c r="F53" i="1" s="1"/>
  <c r="C52" i="1"/>
  <c r="I40" i="1"/>
  <c r="C48" i="1" s="1"/>
  <c r="I37" i="1"/>
  <c r="C46" i="1" s="1"/>
  <c r="J38" i="1"/>
  <c r="J36" i="1"/>
  <c r="I239" i="1"/>
  <c r="J239" i="1" s="1"/>
  <c r="E239" i="1"/>
  <c r="F239" i="1" s="1"/>
  <c r="E237" i="1"/>
  <c r="F237" i="1" s="1"/>
  <c r="E235" i="1"/>
  <c r="F235" i="1" s="1"/>
  <c r="C234" i="1"/>
  <c r="E233" i="1" s="1"/>
  <c r="F233" i="1" s="1"/>
  <c r="C230" i="1"/>
  <c r="E229" i="1" s="1"/>
  <c r="F229" i="1" s="1"/>
  <c r="C228" i="1"/>
  <c r="E227" i="1" s="1"/>
  <c r="F227" i="1" s="1"/>
  <c r="C226" i="1"/>
  <c r="E225" i="1" s="1"/>
  <c r="F225" i="1" s="1"/>
  <c r="E219" i="1"/>
  <c r="F219" i="1" s="1"/>
  <c r="J218" i="1"/>
  <c r="J217" i="1"/>
  <c r="E217" i="1"/>
  <c r="F217" i="1" s="1"/>
  <c r="J216" i="1"/>
  <c r="J215" i="1"/>
  <c r="E215" i="1"/>
  <c r="F215" i="1" s="1"/>
  <c r="J214" i="1"/>
  <c r="E213" i="1"/>
  <c r="F213" i="1" s="1"/>
  <c r="E31" i="3"/>
  <c r="E30" i="3"/>
  <c r="E29" i="3"/>
  <c r="E28" i="3"/>
  <c r="D28" i="3"/>
  <c r="D29" i="3" s="1"/>
  <c r="D30" i="3" s="1"/>
  <c r="D31" i="3" s="1"/>
  <c r="D32" i="3" s="1"/>
  <c r="D33" i="3" s="1"/>
  <c r="D34" i="3" s="1"/>
  <c r="E34" i="3" s="1"/>
  <c r="E27" i="3"/>
  <c r="D27" i="3"/>
  <c r="F19" i="3"/>
  <c r="G19" i="3" s="1"/>
  <c r="F17" i="3"/>
  <c r="G17" i="3" s="1"/>
  <c r="F15" i="3"/>
  <c r="G15" i="3" s="1"/>
  <c r="F13" i="3"/>
  <c r="G13" i="3" s="1"/>
  <c r="G11" i="3"/>
  <c r="F11" i="3"/>
  <c r="F9" i="3"/>
  <c r="G9" i="3" s="1"/>
  <c r="F7" i="3"/>
  <c r="G7" i="3" s="1"/>
  <c r="F5" i="3"/>
  <c r="F21" i="3" s="1"/>
  <c r="G21" i="3" s="1"/>
  <c r="G4" i="3"/>
  <c r="E285" i="1" l="1"/>
  <c r="F285" i="1" s="1"/>
  <c r="C290" i="1"/>
  <c r="E289" i="1" s="1"/>
  <c r="F289" i="1" s="1"/>
  <c r="C296" i="1"/>
  <c r="E295" i="1" s="1"/>
  <c r="F295" i="1" s="1"/>
  <c r="C288" i="1"/>
  <c r="E287" i="1" s="1"/>
  <c r="F287" i="1" s="1"/>
  <c r="E293" i="1"/>
  <c r="F293" i="1" s="1"/>
  <c r="E291" i="1"/>
  <c r="F291" i="1" s="1"/>
  <c r="J280" i="1"/>
  <c r="J30" i="1"/>
  <c r="C153" i="1"/>
  <c r="C185" i="1"/>
  <c r="E184" i="1" s="1"/>
  <c r="F184" i="1" s="1"/>
  <c r="C187" i="1"/>
  <c r="E186" i="1" s="1"/>
  <c r="F186" i="1" s="1"/>
  <c r="C175" i="1"/>
  <c r="E174" i="1" s="1"/>
  <c r="F174" i="1" s="1"/>
  <c r="C177" i="1"/>
  <c r="E176" i="1" s="1"/>
  <c r="F176" i="1" s="1"/>
  <c r="J153" i="1"/>
  <c r="J150" i="1"/>
  <c r="J40" i="1"/>
  <c r="J37" i="1"/>
  <c r="C50" i="1"/>
  <c r="G5" i="3"/>
  <c r="E326" i="1" l="1"/>
  <c r="F326" i="1" s="1"/>
  <c r="E324" i="1"/>
  <c r="F324" i="1" s="1"/>
  <c r="E322" i="1"/>
  <c r="F322" i="1" s="1"/>
  <c r="E320" i="1"/>
  <c r="F320" i="1" s="1"/>
  <c r="E318" i="1"/>
  <c r="F318" i="1" s="1"/>
  <c r="E314" i="1"/>
  <c r="F314" i="1" s="1"/>
  <c r="E312" i="1"/>
  <c r="F312" i="1" s="1"/>
  <c r="E310" i="1"/>
  <c r="F310" i="1" s="1"/>
  <c r="E308" i="1"/>
  <c r="F308" i="1" s="1"/>
  <c r="E306" i="1"/>
  <c r="F306" i="1" s="1"/>
  <c r="E264" i="1"/>
  <c r="F264" i="1" s="1"/>
  <c r="E262" i="1"/>
  <c r="F262" i="1" s="1"/>
  <c r="E260" i="1"/>
  <c r="F260" i="1" s="1"/>
  <c r="E254" i="1"/>
  <c r="F254" i="1" s="1"/>
  <c r="E250" i="1"/>
  <c r="F250" i="1" s="1"/>
  <c r="E248" i="1"/>
  <c r="F248" i="1" s="1"/>
  <c r="E246" i="1"/>
  <c r="F246" i="1" s="1"/>
  <c r="E244" i="1"/>
  <c r="F244" i="1" s="1"/>
  <c r="E168" i="1"/>
  <c r="F168" i="1" s="1"/>
  <c r="E166" i="1"/>
  <c r="F166" i="1" s="1"/>
  <c r="E164" i="1"/>
  <c r="F164" i="1" s="1"/>
  <c r="E162" i="1"/>
  <c r="F162" i="1" s="1"/>
  <c r="E156" i="1"/>
  <c r="F156" i="1" s="1"/>
  <c r="E154" i="1"/>
  <c r="F154" i="1" s="1"/>
  <c r="E152" i="1"/>
  <c r="F152" i="1" s="1"/>
  <c r="E150" i="1"/>
  <c r="F150" i="1" s="1"/>
  <c r="E88" i="1"/>
  <c r="F88" i="1" s="1"/>
  <c r="E86" i="1"/>
  <c r="F86" i="1" s="1"/>
  <c r="E84" i="1"/>
  <c r="F84" i="1" s="1"/>
  <c r="E82" i="1"/>
  <c r="F82" i="1" s="1"/>
  <c r="E80" i="1"/>
  <c r="F80" i="1" s="1"/>
  <c r="E59" i="1"/>
  <c r="F59" i="1" s="1"/>
  <c r="E51" i="1"/>
  <c r="F51" i="1" s="1"/>
  <c r="E49" i="1"/>
  <c r="F49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D36" i="5"/>
  <c r="D37" i="5" s="1"/>
  <c r="D38" i="5" s="1"/>
  <c r="D39" i="5" s="1"/>
  <c r="D40" i="5" s="1"/>
  <c r="D41" i="5" s="1"/>
  <c r="D42" i="5" s="1"/>
  <c r="D43" i="5" s="1"/>
  <c r="D35" i="5"/>
  <c r="F27" i="5"/>
  <c r="F25" i="5"/>
  <c r="F23" i="5"/>
  <c r="F21" i="5"/>
  <c r="F19" i="5"/>
  <c r="F17" i="5"/>
  <c r="F15" i="5"/>
  <c r="F13" i="5"/>
  <c r="F11" i="5"/>
  <c r="G45" i="4" l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D45" i="4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E30" i="4"/>
  <c r="E29" i="4"/>
  <c r="D29" i="4"/>
  <c r="D30" i="4" s="1"/>
  <c r="D31" i="4" s="1"/>
  <c r="D32" i="4" s="1"/>
  <c r="D33" i="4" s="1"/>
  <c r="D34" i="4" s="1"/>
  <c r="D35" i="4" s="1"/>
  <c r="D36" i="4" s="1"/>
  <c r="D37" i="4" s="1"/>
  <c r="E37" i="4" s="1"/>
  <c r="F21" i="4"/>
  <c r="G21" i="4" s="1"/>
  <c r="F19" i="4"/>
  <c r="G19" i="4" s="1"/>
  <c r="F17" i="4"/>
  <c r="G17" i="4" s="1"/>
  <c r="F15" i="4"/>
  <c r="G15" i="4" s="1"/>
  <c r="F13" i="4"/>
  <c r="G13" i="4" s="1"/>
  <c r="F11" i="4"/>
  <c r="G11" i="4" s="1"/>
  <c r="F9" i="4"/>
  <c r="G9" i="4" s="1"/>
  <c r="F7" i="4"/>
  <c r="G7" i="4" s="1"/>
  <c r="F5" i="4"/>
  <c r="F23" i="4" s="1"/>
  <c r="G23" i="4" s="1"/>
  <c r="G4" i="4"/>
  <c r="G5" i="4" l="1"/>
  <c r="G41" i="9" l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F31" i="9"/>
  <c r="F29" i="9" s="1"/>
  <c r="J30" i="9"/>
  <c r="M29" i="9"/>
  <c r="M28" i="9"/>
  <c r="F27" i="9"/>
  <c r="F22" i="9"/>
  <c r="L21" i="9"/>
  <c r="F18" i="9"/>
  <c r="J16" i="9"/>
  <c r="F16" i="9"/>
  <c r="M15" i="9"/>
  <c r="L15" i="9"/>
  <c r="L8" i="9"/>
  <c r="F8" i="9"/>
  <c r="F20" i="9" s="1"/>
  <c r="F24" i="9" l="1"/>
  <c r="F25" i="9" s="1"/>
  <c r="D9" i="9"/>
  <c r="F33" i="9"/>
  <c r="F34" i="9" s="1"/>
  <c r="M21" i="9" l="1"/>
  <c r="D10" i="9"/>
  <c r="M8" i="9"/>
  <c r="D11" i="9" l="1"/>
  <c r="L9" i="9"/>
  <c r="L22" i="9"/>
  <c r="M22" i="9" l="1"/>
  <c r="D12" i="9"/>
  <c r="M9" i="9"/>
  <c r="D13" i="9" l="1"/>
  <c r="L23" i="9"/>
  <c r="L10" i="9"/>
  <c r="D14" i="9" l="1"/>
  <c r="M23" i="9"/>
  <c r="M10" i="9"/>
  <c r="L11" i="9" l="1"/>
  <c r="D15" i="9"/>
  <c r="L24" i="9"/>
  <c r="M11" i="9" l="1"/>
  <c r="D16" i="9"/>
  <c r="M24" i="9"/>
  <c r="L25" i="9" l="1"/>
  <c r="L12" i="9"/>
  <c r="D17" i="9"/>
  <c r="M25" i="9" l="1"/>
  <c r="M12" i="9"/>
  <c r="D18" i="9"/>
  <c r="L26" i="9" l="1"/>
  <c r="D19" i="9"/>
  <c r="L13" i="9"/>
  <c r="D20" i="9" l="1"/>
  <c r="D27" i="9"/>
  <c r="D28" i="9" s="1"/>
  <c r="M26" i="9"/>
  <c r="M13" i="9"/>
  <c r="D29" i="9" l="1"/>
  <c r="D30" i="9" s="1"/>
  <c r="D31" i="9" s="1"/>
  <c r="M27" i="9"/>
  <c r="D21" i="9"/>
  <c r="M14" i="9" s="1"/>
  <c r="L14" i="9"/>
  <c r="L27" i="9"/>
  <c r="L29" i="9" l="1"/>
  <c r="L28" i="9"/>
  <c r="G36" i="8" l="1"/>
  <c r="G37" i="8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F24" i="8"/>
  <c r="S23" i="8"/>
  <c r="R23" i="8"/>
  <c r="S22" i="8"/>
  <c r="R22" i="8"/>
  <c r="M22" i="8"/>
  <c r="L22" i="8"/>
  <c r="J22" i="8"/>
  <c r="D22" i="8"/>
  <c r="F22" i="8" s="1"/>
  <c r="S21" i="8"/>
  <c r="R21" i="8"/>
  <c r="S20" i="8"/>
  <c r="R20" i="8"/>
  <c r="F20" i="8"/>
  <c r="J18" i="8" s="1"/>
  <c r="S19" i="8"/>
  <c r="R19" i="8"/>
  <c r="S18" i="8"/>
  <c r="R18" i="8"/>
  <c r="M18" i="8"/>
  <c r="L18" i="8"/>
  <c r="D18" i="8"/>
  <c r="F18" i="8" s="1"/>
  <c r="J16" i="8" s="1"/>
  <c r="S17" i="8"/>
  <c r="R17" i="8"/>
  <c r="S16" i="8"/>
  <c r="R16" i="8"/>
  <c r="M16" i="8"/>
  <c r="F16" i="8"/>
  <c r="J14" i="8" s="1"/>
  <c r="S15" i="8"/>
  <c r="R15" i="8"/>
  <c r="S14" i="8"/>
  <c r="R14" i="8"/>
  <c r="M14" i="8"/>
  <c r="L14" i="8"/>
  <c r="F14" i="8"/>
  <c r="G14" i="8" s="1"/>
  <c r="S13" i="8"/>
  <c r="R13" i="8"/>
  <c r="T12" i="8"/>
  <c r="S12" i="8"/>
  <c r="R12" i="8"/>
  <c r="M12" i="8"/>
  <c r="L12" i="8"/>
  <c r="J12" i="8"/>
  <c r="F12" i="8"/>
  <c r="T11" i="8"/>
  <c r="S11" i="8"/>
  <c r="R11" i="8"/>
  <c r="M11" i="8"/>
  <c r="L11" i="8"/>
  <c r="J11" i="8"/>
  <c r="M10" i="8"/>
  <c r="L10" i="8"/>
  <c r="F10" i="8"/>
  <c r="J10" i="8" s="1"/>
  <c r="S8" i="8"/>
  <c r="M8" i="8"/>
  <c r="L8" i="8"/>
  <c r="F8" i="8"/>
  <c r="J8" i="8" s="1"/>
  <c r="H39" i="7"/>
  <c r="G34" i="7"/>
  <c r="G35" i="7" s="1"/>
  <c r="D34" i="7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S25" i="7"/>
  <c r="R25" i="7"/>
  <c r="S22" i="7"/>
  <c r="R22" i="7"/>
  <c r="D22" i="7"/>
  <c r="F22" i="7" s="1"/>
  <c r="S21" i="7"/>
  <c r="R21" i="7"/>
  <c r="S20" i="7"/>
  <c r="R20" i="7"/>
  <c r="M20" i="7"/>
  <c r="L20" i="7"/>
  <c r="F20" i="7"/>
  <c r="S19" i="7"/>
  <c r="R19" i="7"/>
  <c r="S18" i="7"/>
  <c r="R18" i="7"/>
  <c r="M18" i="7"/>
  <c r="D18" i="7"/>
  <c r="F18" i="7" s="1"/>
  <c r="S17" i="7"/>
  <c r="R17" i="7"/>
  <c r="S16" i="7"/>
  <c r="R16" i="7"/>
  <c r="M16" i="7"/>
  <c r="L16" i="7"/>
  <c r="F16" i="7"/>
  <c r="J16" i="7" s="1"/>
  <c r="S15" i="7"/>
  <c r="R15" i="7"/>
  <c r="S14" i="7"/>
  <c r="R14" i="7"/>
  <c r="M14" i="7"/>
  <c r="L14" i="7"/>
  <c r="F14" i="7"/>
  <c r="J14" i="7" s="1"/>
  <c r="S13" i="7"/>
  <c r="R13" i="7"/>
  <c r="M13" i="7"/>
  <c r="S12" i="7"/>
  <c r="R12" i="7"/>
  <c r="L12" i="7"/>
  <c r="F12" i="7"/>
  <c r="T11" i="7"/>
  <c r="S11" i="7"/>
  <c r="R11" i="7"/>
  <c r="M10" i="7"/>
  <c r="L10" i="7"/>
  <c r="F10" i="7"/>
  <c r="J10" i="7" s="1"/>
  <c r="S8" i="7"/>
  <c r="M8" i="7"/>
  <c r="L8" i="7"/>
  <c r="F8" i="7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20" i="1"/>
  <c r="F20" i="1" s="1"/>
  <c r="E22" i="1"/>
  <c r="F22" i="1" s="1"/>
  <c r="E24" i="1"/>
  <c r="F24" i="1" s="1"/>
  <c r="E4" i="1"/>
  <c r="F4" i="1" s="1"/>
  <c r="J24" i="8" l="1"/>
  <c r="G38" i="8"/>
  <c r="T13" i="8"/>
  <c r="F26" i="8"/>
  <c r="G26" i="8" s="1"/>
  <c r="L16" i="8"/>
  <c r="J18" i="7"/>
  <c r="G18" i="7"/>
  <c r="F24" i="7"/>
  <c r="G24" i="7" s="1"/>
  <c r="J20" i="7"/>
  <c r="G36" i="7"/>
  <c r="T12" i="7"/>
  <c r="J8" i="7"/>
  <c r="J24" i="7" s="1"/>
  <c r="L18" i="7"/>
  <c r="G39" i="8" l="1"/>
  <c r="T14" i="8"/>
  <c r="G37" i="7"/>
  <c r="T13" i="7"/>
  <c r="G40" i="8" l="1"/>
  <c r="T15" i="8"/>
  <c r="G38" i="7"/>
  <c r="T14" i="7"/>
  <c r="G41" i="8" l="1"/>
  <c r="T16" i="8"/>
  <c r="T15" i="7"/>
  <c r="G39" i="7"/>
  <c r="G42" i="8" l="1"/>
  <c r="T17" i="8"/>
  <c r="T16" i="7"/>
  <c r="G40" i="7"/>
  <c r="T18" i="8" l="1"/>
  <c r="G43" i="8"/>
  <c r="G41" i="7"/>
  <c r="T17" i="7"/>
  <c r="G44" i="8" l="1"/>
  <c r="T19" i="8"/>
  <c r="T18" i="7"/>
  <c r="G42" i="7"/>
  <c r="G45" i="8" l="1"/>
  <c r="T20" i="8"/>
  <c r="G43" i="7"/>
  <c r="T19" i="7"/>
  <c r="T21" i="8" l="1"/>
  <c r="G46" i="8"/>
  <c r="T20" i="7"/>
  <c r="G44" i="7"/>
  <c r="T22" i="8" l="1"/>
  <c r="G47" i="8"/>
  <c r="T21" i="7"/>
  <c r="G45" i="7"/>
  <c r="G48" i="8" l="1"/>
  <c r="T24" i="8" s="1"/>
  <c r="T23" i="8"/>
  <c r="G46" i="7"/>
  <c r="T22" i="7"/>
  <c r="G47" i="7" l="1"/>
  <c r="T23" i="7"/>
  <c r="G48" i="7" l="1"/>
  <c r="T24" i="7"/>
  <c r="G49" i="7" l="1"/>
  <c r="T25" i="7"/>
</calcChain>
</file>

<file path=xl/sharedStrings.xml><?xml version="1.0" encoding="utf-8"?>
<sst xmlns="http://schemas.openxmlformats.org/spreadsheetml/2006/main" count="1911" uniqueCount="801">
  <si>
    <t>0x3E000</t>
    <phoneticPr fontId="3" type="noConversion"/>
  </si>
  <si>
    <t>0x3C000</t>
    <phoneticPr fontId="3" type="noConversion"/>
  </si>
  <si>
    <t>Reserved</t>
    <phoneticPr fontId="3" type="noConversion"/>
  </si>
  <si>
    <t>Size</t>
  </si>
  <si>
    <t>W/o BK &amp; W/o LDC</t>
  </si>
  <si>
    <t>Dummy</t>
  </si>
  <si>
    <t>LDC Part</t>
    <phoneticPr fontId="3" type="noConversion"/>
  </si>
  <si>
    <r>
      <t>xxxx* (OTA</t>
    </r>
    <r>
      <rPr>
        <sz val="12"/>
        <rFont val="Microsoft JhengHei"/>
        <family val="1"/>
        <charset val="136"/>
      </rPr>
      <t>禁用</t>
    </r>
    <r>
      <rPr>
        <sz val="12"/>
        <rFont val="Cambria"/>
        <family val="1"/>
      </rPr>
      <t>)</t>
    </r>
    <phoneticPr fontId="3" type="noConversion"/>
  </si>
  <si>
    <t>DP_FW1 = BKL_LED+MCU</t>
    <phoneticPr fontId="8" type="noConversion"/>
  </si>
  <si>
    <t>DP Part</t>
    <phoneticPr fontId="3" type="noConversion"/>
  </si>
  <si>
    <r>
      <t>xxxx* (OTA</t>
    </r>
    <r>
      <rPr>
        <sz val="12"/>
        <color theme="1"/>
        <rFont val="Microsoft JhengHei"/>
        <family val="1"/>
      </rPr>
      <t>禁用</t>
    </r>
    <r>
      <rPr>
        <sz val="12"/>
        <color theme="1"/>
        <rFont val="Cambria"/>
        <family val="1"/>
      </rPr>
      <t>)</t>
    </r>
    <phoneticPr fontId="3" type="noConversion"/>
  </si>
  <si>
    <t>DP_FW2 = PRAM+DRAM</t>
    <phoneticPr fontId="8" type="noConversion"/>
  </si>
  <si>
    <t>DP_FW Part</t>
    <phoneticPr fontId="3" type="noConversion"/>
  </si>
  <si>
    <t>DP Part - BK</t>
    <phoneticPr fontId="3" type="noConversion"/>
  </si>
  <si>
    <t>TP Part</t>
    <phoneticPr fontId="3" type="noConversion"/>
  </si>
  <si>
    <t>LDC Part - BK</t>
    <phoneticPr fontId="3" type="noConversion"/>
  </si>
  <si>
    <t>1IC</t>
    <phoneticPr fontId="3" type="noConversion"/>
  </si>
  <si>
    <t>2IC</t>
    <phoneticPr fontId="3" type="noConversion"/>
  </si>
  <si>
    <t>Flash addr</t>
    <phoneticPr fontId="3" type="noConversion"/>
  </si>
  <si>
    <t>Size</t>
    <phoneticPr fontId="3" type="noConversion"/>
  </si>
  <si>
    <t xml:space="preserve">2M bit </t>
    <phoneticPr fontId="8" type="noConversion"/>
  </si>
  <si>
    <t xml:space="preserve">4M bit </t>
    <phoneticPr fontId="8" type="noConversion"/>
  </si>
  <si>
    <t xml:space="preserve">8M bit </t>
    <phoneticPr fontId="8" type="noConversion"/>
  </si>
  <si>
    <t>4M bit</t>
    <phoneticPr fontId="8" type="noConversion"/>
  </si>
  <si>
    <t>W/o BK &amp; W/i LDC</t>
    <phoneticPr fontId="8" type="noConversion"/>
  </si>
  <si>
    <t>W/i BK &amp; W/o LDC</t>
    <phoneticPr fontId="8" type="noConversion"/>
  </si>
  <si>
    <t>W/i BK &amp; W/i LDC</t>
    <phoneticPr fontId="8" type="noConversion"/>
  </si>
  <si>
    <t>W/o BK &amp; W/o LDC</t>
    <phoneticPr fontId="8" type="noConversion"/>
  </si>
  <si>
    <t>Application</t>
    <phoneticPr fontId="3" type="noConversion"/>
  </si>
  <si>
    <t>0-FFF</t>
    <phoneticPr fontId="3" type="noConversion"/>
  </si>
  <si>
    <t>DP Header</t>
    <phoneticPr fontId="3" type="noConversion"/>
  </si>
  <si>
    <t>1000-1FFF</t>
    <phoneticPr fontId="3" type="noConversion"/>
  </si>
  <si>
    <t>2DF</t>
    <phoneticPr fontId="3" type="noConversion"/>
  </si>
  <si>
    <t>PRAM+DRAM</t>
    <phoneticPr fontId="3" type="noConversion"/>
  </si>
  <si>
    <t>TGAM*</t>
    <phoneticPr fontId="8" type="noConversion"/>
  </si>
  <si>
    <t>2000-2FFF</t>
    <phoneticPr fontId="3" type="noConversion"/>
  </si>
  <si>
    <t>3B1</t>
    <phoneticPr fontId="3" type="noConversion"/>
  </si>
  <si>
    <t>TLUT*</t>
    <phoneticPr fontId="8" type="noConversion"/>
  </si>
  <si>
    <t>3000-3FFF</t>
    <phoneticPr fontId="3" type="noConversion"/>
  </si>
  <si>
    <t>VCOM*</t>
    <phoneticPr fontId="8" type="noConversion"/>
  </si>
  <si>
    <t>4000-4FFF</t>
    <phoneticPr fontId="3" type="noConversion"/>
  </si>
  <si>
    <t>1F</t>
    <phoneticPr fontId="10" type="noConversion"/>
  </si>
  <si>
    <t>CSID*</t>
    <phoneticPr fontId="8" type="noConversion"/>
  </si>
  <si>
    <t>5000-5FFF</t>
    <phoneticPr fontId="3" type="noConversion"/>
  </si>
  <si>
    <t>CD4</t>
    <phoneticPr fontId="3" type="noConversion"/>
  </si>
  <si>
    <t>CMD</t>
    <phoneticPr fontId="3" type="noConversion"/>
  </si>
  <si>
    <t>6000-7FFF</t>
    <phoneticPr fontId="3" type="noConversion"/>
  </si>
  <si>
    <t>eDP</t>
    <phoneticPr fontId="3" type="noConversion"/>
  </si>
  <si>
    <t>8000-8FFF</t>
    <phoneticPr fontId="3" type="noConversion"/>
  </si>
  <si>
    <t>OSD*</t>
    <phoneticPr fontId="3" type="noConversion"/>
  </si>
  <si>
    <t>9000-9FFF</t>
    <phoneticPr fontId="3" type="noConversion"/>
  </si>
  <si>
    <t>VOLT*</t>
    <phoneticPr fontId="8" type="noConversion"/>
  </si>
  <si>
    <t>A000-37FFF</t>
    <phoneticPr fontId="3" type="noConversion"/>
  </si>
  <si>
    <t>TP FW</t>
    <phoneticPr fontId="3" type="noConversion"/>
  </si>
  <si>
    <t>38000-38FFF</t>
    <phoneticPr fontId="3" type="noConversion"/>
  </si>
  <si>
    <t>Dummy</t>
    <phoneticPr fontId="3" type="noConversion"/>
  </si>
  <si>
    <t>PRAM+DRAM</t>
    <phoneticPr fontId="10" type="noConversion"/>
  </si>
  <si>
    <t>BKL_LED+MCU</t>
    <phoneticPr fontId="3" type="noConversion"/>
  </si>
  <si>
    <t>39000-39FFF</t>
    <phoneticPr fontId="3" type="noConversion"/>
  </si>
  <si>
    <t>3A000-3AFFF</t>
    <phoneticPr fontId="3" type="noConversion"/>
  </si>
  <si>
    <t>VCOM*+VOLT*</t>
    <phoneticPr fontId="8" type="noConversion"/>
  </si>
  <si>
    <t>3B000-3BFFF</t>
    <phoneticPr fontId="3" type="noConversion"/>
  </si>
  <si>
    <t>3C000-3CFFF</t>
    <phoneticPr fontId="3" type="noConversion"/>
  </si>
  <si>
    <t>CSID+eDP</t>
    <phoneticPr fontId="3" type="noConversion"/>
  </si>
  <si>
    <t>3D000-3DFFF</t>
    <phoneticPr fontId="3" type="noConversion"/>
  </si>
  <si>
    <t>3E000-3EFFF</t>
    <phoneticPr fontId="3" type="noConversion"/>
  </si>
  <si>
    <t>3F000-3FFFF</t>
    <phoneticPr fontId="3" type="noConversion"/>
  </si>
  <si>
    <t>40000-40FFF</t>
    <phoneticPr fontId="3" type="noConversion"/>
  </si>
  <si>
    <t>DP Header - BK</t>
    <phoneticPr fontId="3" type="noConversion"/>
  </si>
  <si>
    <t>41000-41FFF</t>
    <phoneticPr fontId="3" type="noConversion"/>
  </si>
  <si>
    <t>LSGN*</t>
    <phoneticPr fontId="10" type="noConversion"/>
  </si>
  <si>
    <t>PRAM+DRAM - BK</t>
    <phoneticPr fontId="3" type="noConversion"/>
  </si>
  <si>
    <t>TGAM* - BK</t>
    <phoneticPr fontId="8" type="noConversion"/>
  </si>
  <si>
    <t>LSGN"</t>
    <phoneticPr fontId="10" type="noConversion"/>
  </si>
  <si>
    <t>42000-42FFF</t>
    <phoneticPr fontId="3" type="noConversion"/>
  </si>
  <si>
    <t>BKL_LDC*</t>
    <phoneticPr fontId="3" type="noConversion"/>
  </si>
  <si>
    <t>TLUT* - BK</t>
    <phoneticPr fontId="8" type="noConversion"/>
  </si>
  <si>
    <t>43000-43FFF</t>
    <phoneticPr fontId="3" type="noConversion"/>
  </si>
  <si>
    <t>BKL_LED/MCU/LEDACC</t>
    <phoneticPr fontId="3" type="noConversion"/>
  </si>
  <si>
    <t>VCOM *- BK</t>
    <phoneticPr fontId="8" type="noConversion"/>
  </si>
  <si>
    <t>44000-44FFF</t>
    <phoneticPr fontId="3" type="noConversion"/>
  </si>
  <si>
    <t>CSID - BK</t>
    <phoneticPr fontId="3" type="noConversion"/>
  </si>
  <si>
    <t>45000-45FFF</t>
    <phoneticPr fontId="3" type="noConversion"/>
  </si>
  <si>
    <t>CMD - BK</t>
    <phoneticPr fontId="3" type="noConversion"/>
  </si>
  <si>
    <t>46000-47FFF</t>
    <phoneticPr fontId="3" type="noConversion"/>
  </si>
  <si>
    <t>eDP - BK</t>
    <phoneticPr fontId="3" type="noConversion"/>
  </si>
  <si>
    <t>48000-48FFF</t>
    <phoneticPr fontId="3" type="noConversion"/>
  </si>
  <si>
    <t>OSD* - BK</t>
    <phoneticPr fontId="3" type="noConversion"/>
  </si>
  <si>
    <t>49000-49FFF</t>
    <phoneticPr fontId="3" type="noConversion"/>
  </si>
  <si>
    <t>VOLT* - BK</t>
    <phoneticPr fontId="8" type="noConversion"/>
  </si>
  <si>
    <t>4A000-54FFF</t>
    <phoneticPr fontId="3" type="noConversion"/>
  </si>
  <si>
    <t>TP FW - BK</t>
    <phoneticPr fontId="3" type="noConversion"/>
  </si>
  <si>
    <t>55000-56FFF</t>
    <phoneticPr fontId="3" type="noConversion"/>
  </si>
  <si>
    <t>57000-57FFF</t>
    <phoneticPr fontId="3" type="noConversion"/>
  </si>
  <si>
    <t>HDGN</t>
    <phoneticPr fontId="10" type="noConversion"/>
  </si>
  <si>
    <t>58000-58FFF</t>
    <phoneticPr fontId="10" type="noConversion"/>
  </si>
  <si>
    <t>LEDACC_DMY</t>
    <phoneticPr fontId="3" type="noConversion"/>
  </si>
  <si>
    <t>59000-59FFF</t>
    <phoneticPr fontId="10" type="noConversion"/>
  </si>
  <si>
    <t>LEDACC_HDR</t>
    <phoneticPr fontId="3" type="noConversion"/>
  </si>
  <si>
    <t>5A000-5AFFF</t>
    <phoneticPr fontId="10" type="noConversion"/>
  </si>
  <si>
    <t>LEDACC_RMP</t>
    <phoneticPr fontId="10" type="noConversion"/>
  </si>
  <si>
    <t>5B000-5CFFF</t>
    <phoneticPr fontId="3" type="noConversion"/>
  </si>
  <si>
    <t>LEDACC_STF</t>
    <phoneticPr fontId="10" type="noConversion"/>
  </si>
  <si>
    <t>5D000-5DFFF</t>
    <phoneticPr fontId="3" type="noConversion"/>
  </si>
  <si>
    <t>5E000-77FFF</t>
    <phoneticPr fontId="3" type="noConversion"/>
  </si>
  <si>
    <t>78000-78FFF</t>
    <phoneticPr fontId="3" type="noConversion"/>
  </si>
  <si>
    <t>79000-79FFF</t>
    <phoneticPr fontId="3" type="noConversion"/>
  </si>
  <si>
    <t>7A000-7AFFF</t>
    <phoneticPr fontId="3" type="noConversion"/>
  </si>
  <si>
    <t>VCOM*+VOLT* - BK</t>
    <phoneticPr fontId="8" type="noConversion"/>
  </si>
  <si>
    <t>7B000-7BFFF</t>
    <phoneticPr fontId="3" type="noConversion"/>
  </si>
  <si>
    <t>7C000-7CFFF</t>
    <phoneticPr fontId="3" type="noConversion"/>
  </si>
  <si>
    <t>CSID+eDP - BK</t>
    <phoneticPr fontId="3" type="noConversion"/>
  </si>
  <si>
    <t>7D000-7DFFF</t>
    <phoneticPr fontId="3" type="noConversion"/>
  </si>
  <si>
    <t>7E000-7EFFF</t>
    <phoneticPr fontId="3" type="noConversion"/>
  </si>
  <si>
    <t>BKL_LED - BK</t>
    <phoneticPr fontId="3" type="noConversion"/>
  </si>
  <si>
    <t>7F000-7FFFF</t>
    <phoneticPr fontId="3" type="noConversion"/>
  </si>
  <si>
    <t>BKL_MCU - BK</t>
    <phoneticPr fontId="3" type="noConversion"/>
  </si>
  <si>
    <t>80000-80FFF</t>
    <phoneticPr fontId="3" type="noConversion"/>
  </si>
  <si>
    <t>81000-81FFF</t>
    <phoneticPr fontId="3" type="noConversion"/>
  </si>
  <si>
    <t>82000-82FFF</t>
    <phoneticPr fontId="3" type="noConversion"/>
  </si>
  <si>
    <t>VCOM* - BK</t>
    <phoneticPr fontId="8" type="noConversion"/>
  </si>
  <si>
    <t>83000-83FFF</t>
    <phoneticPr fontId="3" type="noConversion"/>
  </si>
  <si>
    <t>CSID* - BK</t>
    <phoneticPr fontId="3" type="noConversion"/>
  </si>
  <si>
    <t>CSID - BK</t>
    <phoneticPr fontId="8" type="noConversion"/>
  </si>
  <si>
    <t>84000-84FFF</t>
    <phoneticPr fontId="3" type="noConversion"/>
  </si>
  <si>
    <t>CMD - BK</t>
    <phoneticPr fontId="8" type="noConversion"/>
  </si>
  <si>
    <t>85000-86FFF</t>
    <phoneticPr fontId="3" type="noConversion"/>
  </si>
  <si>
    <t>eDP - BK</t>
    <phoneticPr fontId="8" type="noConversion"/>
  </si>
  <si>
    <t>87000-87FFF</t>
    <phoneticPr fontId="3" type="noConversion"/>
  </si>
  <si>
    <t>OSD* - BK</t>
    <phoneticPr fontId="8" type="noConversion"/>
  </si>
  <si>
    <t>88000-89FFF</t>
    <phoneticPr fontId="3" type="noConversion"/>
  </si>
  <si>
    <t>8A000-B7FFF</t>
    <phoneticPr fontId="3" type="noConversion"/>
  </si>
  <si>
    <t>B8000-BFFF</t>
    <phoneticPr fontId="3" type="noConversion"/>
  </si>
  <si>
    <t>C0000-C0FFF</t>
    <phoneticPr fontId="3" type="noConversion"/>
  </si>
  <si>
    <t>BKL_LDC *- BK</t>
    <phoneticPr fontId="3" type="noConversion"/>
  </si>
  <si>
    <t>BKL_LDC* - BK</t>
    <phoneticPr fontId="3" type="noConversion"/>
  </si>
  <si>
    <t>C1000-C1FFF</t>
    <phoneticPr fontId="3" type="noConversion"/>
  </si>
  <si>
    <t>C2000-C2FFF</t>
    <phoneticPr fontId="3" type="noConversion"/>
  </si>
  <si>
    <t>BKL_LEDACC - BK</t>
    <phoneticPr fontId="3" type="noConversion"/>
  </si>
  <si>
    <t>C3000-C3FFF</t>
    <phoneticPr fontId="3" type="noConversion"/>
  </si>
  <si>
    <t>C4000-C7FFF</t>
    <phoneticPr fontId="3" type="noConversion"/>
  </si>
  <si>
    <t>DRAM - BK</t>
    <phoneticPr fontId="10" type="noConversion"/>
  </si>
  <si>
    <t>DRAM+PRAM - BK</t>
    <phoneticPr fontId="10" type="noConversion"/>
  </si>
  <si>
    <t>DRAM - BK</t>
    <phoneticPr fontId="3" type="noConversion"/>
  </si>
  <si>
    <t>C8000-C8FFF</t>
    <phoneticPr fontId="3" type="noConversion"/>
  </si>
  <si>
    <t>HDGN - BK</t>
    <phoneticPr fontId="10" type="noConversion"/>
  </si>
  <si>
    <t>HDGN - BK</t>
    <phoneticPr fontId="3" type="noConversion"/>
  </si>
  <si>
    <t>C9000-C9FFF</t>
    <phoneticPr fontId="3" type="noConversion"/>
  </si>
  <si>
    <t>LEDACC_DMY - BK</t>
    <phoneticPr fontId="3" type="noConversion"/>
  </si>
  <si>
    <t>CA000-CAFFF</t>
    <phoneticPr fontId="3" type="noConversion"/>
  </si>
  <si>
    <t>LEDACC_HDR - BK</t>
    <phoneticPr fontId="3" type="noConversion"/>
  </si>
  <si>
    <t>CB000-CCFFF</t>
    <phoneticPr fontId="3" type="noConversion"/>
  </si>
  <si>
    <t>LEDACC_RMP - BK</t>
    <phoneticPr fontId="10" type="noConversion"/>
  </si>
  <si>
    <t>LEDACC_RMP - BK</t>
    <phoneticPr fontId="3" type="noConversion"/>
  </si>
  <si>
    <t>CD000-CFFFF</t>
    <phoneticPr fontId="3" type="noConversion"/>
  </si>
  <si>
    <t>LEDACC_STF - BK</t>
    <phoneticPr fontId="10" type="noConversion"/>
  </si>
  <si>
    <t>LEDACC_STF - BK</t>
    <phoneticPr fontId="3" type="noConversion"/>
  </si>
  <si>
    <t>D0000-D7FFF</t>
    <phoneticPr fontId="3" type="noConversion"/>
  </si>
  <si>
    <t>PRAM - BK</t>
    <phoneticPr fontId="10" type="noConversion"/>
  </si>
  <si>
    <t>PRAM - BK</t>
    <phoneticPr fontId="3" type="noConversion"/>
  </si>
  <si>
    <t>DF000-E0FFF</t>
    <phoneticPr fontId="3" type="noConversion"/>
  </si>
  <si>
    <t>E1000-FFFFF</t>
    <phoneticPr fontId="10" type="noConversion"/>
  </si>
  <si>
    <t>Addr.</t>
    <phoneticPr fontId="10" type="noConversion"/>
  </si>
  <si>
    <t>Note</t>
    <phoneticPr fontId="10" type="noConversion"/>
  </si>
  <si>
    <t>Size</t>
    <phoneticPr fontId="10" type="noConversion"/>
  </si>
  <si>
    <t>0x00000</t>
    <phoneticPr fontId="10" type="noConversion"/>
  </si>
  <si>
    <r>
      <t>initialcode, Gamma, Vcom… (</t>
    </r>
    <r>
      <rPr>
        <sz val="12"/>
        <rFont val="細明體"/>
        <family val="2"/>
        <charset val="136"/>
      </rPr>
      <t>含</t>
    </r>
    <r>
      <rPr>
        <sz val="12"/>
        <rFont val="Century Gothic"/>
        <family val="2"/>
      </rPr>
      <t>header)</t>
    </r>
    <phoneticPr fontId="10" type="noConversion"/>
  </si>
  <si>
    <t>0x09FFF</t>
    <phoneticPr fontId="10" type="noConversion"/>
  </si>
  <si>
    <t>0x0A000</t>
    <phoneticPr fontId="10" type="noConversion"/>
  </si>
  <si>
    <t>FW Header</t>
    <phoneticPr fontId="10" type="noConversion"/>
  </si>
  <si>
    <t>0x0A0FF</t>
    <phoneticPr fontId="10" type="noConversion"/>
  </si>
  <si>
    <t>0x0A100</t>
    <phoneticPr fontId="3" type="noConversion"/>
  </si>
  <si>
    <t>BLD Header</t>
    <phoneticPr fontId="3" type="noConversion"/>
  </si>
  <si>
    <t>0x0A1FF</t>
    <phoneticPr fontId="3" type="noConversion"/>
  </si>
  <si>
    <t>0x0A200</t>
    <phoneticPr fontId="10" type="noConversion"/>
  </si>
  <si>
    <t>FW Code (ILM + Overlay)</t>
    <phoneticPr fontId="10" type="noConversion"/>
  </si>
  <si>
    <t>0x221FF</t>
    <phoneticPr fontId="10" type="noConversion"/>
  </si>
  <si>
    <t>0x22200</t>
    <phoneticPr fontId="10" type="noConversion"/>
  </si>
  <si>
    <t>NF+CtrlRAM+FW_Config+,,,, +.Data</t>
    <phoneticPr fontId="10" type="noConversion"/>
  </si>
  <si>
    <t>0x331FF</t>
    <phoneticPr fontId="3" type="noConversion"/>
  </si>
  <si>
    <t>DLM</t>
    <phoneticPr fontId="10" type="noConversion"/>
  </si>
  <si>
    <t>0x35FFF</t>
    <phoneticPr fontId="2" type="noConversion"/>
  </si>
  <si>
    <t>0x36000</t>
    <phoneticPr fontId="10" type="noConversion"/>
  </si>
  <si>
    <t>FW Information for Host</t>
    <phoneticPr fontId="10" type="noConversion"/>
  </si>
  <si>
    <t>0x36FFB</t>
    <phoneticPr fontId="10" type="noConversion"/>
  </si>
  <si>
    <t>end_flag (0x00, N, V, T)</t>
    <phoneticPr fontId="10" type="noConversion"/>
  </si>
  <si>
    <t>0x36FFF</t>
    <phoneticPr fontId="10" type="noConversion"/>
  </si>
  <si>
    <t>0x37000</t>
    <phoneticPr fontId="10" type="noConversion"/>
  </si>
  <si>
    <r>
      <rPr>
        <sz val="12"/>
        <color rgb="FFFF0000"/>
        <rFont val="微軟正黑體"/>
        <family val="2"/>
        <charset val="136"/>
      </rPr>
      <t>客戶專用</t>
    </r>
    <r>
      <rPr>
        <sz val="12"/>
        <color rgb="FFFF0000"/>
        <rFont val="Century Gothic"/>
        <family val="2"/>
      </rPr>
      <t xml:space="preserve">, </t>
    </r>
    <r>
      <rPr>
        <sz val="12"/>
        <color rgb="FFFF0000"/>
        <rFont val="微軟正黑體"/>
        <family val="2"/>
        <charset val="136"/>
      </rPr>
      <t>紀錄產測資訊</t>
    </r>
    <phoneticPr fontId="10" type="noConversion"/>
  </si>
  <si>
    <t>0x37FFF</t>
    <phoneticPr fontId="10" type="noConversion"/>
  </si>
  <si>
    <t>Item</t>
  </si>
  <si>
    <t>Owner</t>
  </si>
  <si>
    <t>Unit</t>
  </si>
  <si>
    <t>Start Addr</t>
  </si>
  <si>
    <t>End Addr</t>
  </si>
  <si>
    <t>Sector</t>
    <phoneticPr fontId="2" type="noConversion"/>
  </si>
  <si>
    <t>Size</t>
    <phoneticPr fontId="2" type="noConversion"/>
  </si>
  <si>
    <t>address</t>
    <phoneticPr fontId="2" type="noConversion"/>
  </si>
  <si>
    <t>type</t>
    <phoneticPr fontId="2" type="noConversion"/>
  </si>
  <si>
    <r>
      <t>initialcode, Gamma, Vcom…  (</t>
    </r>
    <r>
      <rPr>
        <sz val="12"/>
        <color theme="1"/>
        <rFont val="細明體"/>
        <family val="3"/>
        <charset val="136"/>
      </rPr>
      <t>含</t>
    </r>
    <r>
      <rPr>
        <sz val="12"/>
        <color theme="1"/>
        <rFont val="Century Gothic"/>
        <family val="2"/>
      </rPr>
      <t>header)</t>
    </r>
    <phoneticPr fontId="2" type="noConversion"/>
  </si>
  <si>
    <t>PS</t>
    <phoneticPr fontId="2" type="noConversion"/>
  </si>
  <si>
    <t>Kbytes</t>
  </si>
  <si>
    <t>ILM sec</t>
    <phoneticPr fontId="2" type="noConversion"/>
  </si>
  <si>
    <t>.txt  (128K)
0x0000000- 0x00018000</t>
    <phoneticPr fontId="2" type="noConversion"/>
  </si>
  <si>
    <t>0x00000</t>
    <phoneticPr fontId="2" type="noConversion"/>
  </si>
  <si>
    <t>ILM
(96K)</t>
    <phoneticPr fontId="2" type="noConversion"/>
  </si>
  <si>
    <t>FW Header</t>
    <phoneticPr fontId="2" type="noConversion"/>
  </si>
  <si>
    <t>FW</t>
    <phoneticPr fontId="2" type="noConversion"/>
  </si>
  <si>
    <t>0x17FFF</t>
    <phoneticPr fontId="2" type="noConversion"/>
  </si>
  <si>
    <t>HW Header</t>
    <phoneticPr fontId="2" type="noConversion"/>
  </si>
  <si>
    <t>BLD</t>
    <phoneticPr fontId="2" type="noConversion"/>
  </si>
  <si>
    <t>DLM sec</t>
    <phoneticPr fontId="2" type="noConversion"/>
  </si>
  <si>
    <t>DLM
(192K)</t>
    <phoneticPr fontId="2" type="noConversion"/>
  </si>
  <si>
    <t>ILM</t>
    <phoneticPr fontId="2" type="noConversion"/>
  </si>
  <si>
    <t>DLM</t>
    <phoneticPr fontId="2" type="noConversion"/>
  </si>
  <si>
    <t>FW</t>
    <phoneticPr fontId="21" type="noConversion"/>
  </si>
  <si>
    <t>Diff DLM</t>
    <phoneticPr fontId="2" type="noConversion"/>
  </si>
  <si>
    <t>FW Information</t>
    <phoneticPr fontId="2" type="noConversion"/>
  </si>
  <si>
    <t>TL</t>
    <phoneticPr fontId="2" type="noConversion"/>
  </si>
  <si>
    <r>
      <rPr>
        <sz val="12"/>
        <color theme="1"/>
        <rFont val="細明體"/>
        <family val="3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細明體"/>
        <family val="3"/>
        <charset val="136"/>
      </rPr>
      <t>紀錄產測資訊</t>
    </r>
    <phoneticPr fontId="21" type="noConversion"/>
  </si>
  <si>
    <t>Client</t>
  </si>
  <si>
    <t>Total</t>
  </si>
  <si>
    <t>DLM End</t>
    <phoneticPr fontId="2" type="noConversion"/>
  </si>
  <si>
    <t>Reg</t>
    <phoneticPr fontId="2" type="noConversion"/>
  </si>
  <si>
    <t>register</t>
    <phoneticPr fontId="2" type="noConversion"/>
  </si>
  <si>
    <t>0xFF000</t>
    <phoneticPr fontId="2" type="noConversion"/>
  </si>
  <si>
    <t>0xFFFFF</t>
    <phoneticPr fontId="2" type="noConversion"/>
  </si>
  <si>
    <t>Flash Address</t>
    <phoneticPr fontId="2" type="noConversion"/>
  </si>
  <si>
    <t>size</t>
    <phoneticPr fontId="2" type="noConversion"/>
  </si>
  <si>
    <t>DLM address</t>
    <phoneticPr fontId="2" type="noConversion"/>
  </si>
  <si>
    <t>FW_Config</t>
    <phoneticPr fontId="2" type="noConversion"/>
  </si>
  <si>
    <t>0x80000</t>
    <phoneticPr fontId="10" type="noConversion"/>
  </si>
  <si>
    <t>EMI Tuning Reserved</t>
    <phoneticPr fontId="3" type="noConversion"/>
  </si>
  <si>
    <t>EventBuf</t>
    <phoneticPr fontId="10" type="noConversion"/>
  </si>
  <si>
    <t>NF</t>
    <phoneticPr fontId="2" type="noConversion"/>
  </si>
  <si>
    <t>CtrlRAM</t>
    <phoneticPr fontId="2" type="noConversion"/>
  </si>
  <si>
    <t>Vnoise Ctrlram</t>
    <phoneticPr fontId="2" type="noConversion"/>
  </si>
  <si>
    <t>PU Table</t>
    <phoneticPr fontId="2" type="noConversion"/>
  </si>
  <si>
    <t>VNTable</t>
    <phoneticPr fontId="2" type="noConversion"/>
  </si>
  <si>
    <t>stair Table</t>
    <phoneticPr fontId="2" type="noConversion"/>
  </si>
  <si>
    <t>1D Col Ganing Table</t>
    <phoneticPr fontId="2" type="noConversion"/>
  </si>
  <si>
    <t>VN Mask Table</t>
    <phoneticPr fontId="10" type="noConversion"/>
  </si>
  <si>
    <t>Header Copy</t>
    <phoneticPr fontId="10" type="noConversion"/>
  </si>
  <si>
    <t>.data + .bss + .stack</t>
    <phoneticPr fontId="2" type="noConversion"/>
  </si>
  <si>
    <t>FW Header</t>
  </si>
  <si>
    <t>0x05FFF</t>
    <phoneticPr fontId="10" type="noConversion"/>
  </si>
  <si>
    <t>0x06000</t>
    <phoneticPr fontId="10" type="noConversion"/>
  </si>
  <si>
    <t>0x06FFFF</t>
    <phoneticPr fontId="10" type="noConversion"/>
  </si>
  <si>
    <t>0x07000</t>
    <phoneticPr fontId="10" type="noConversion"/>
  </si>
  <si>
    <t>Header</t>
    <phoneticPr fontId="10" type="noConversion"/>
  </si>
  <si>
    <t>0x071FF</t>
    <phoneticPr fontId="10" type="noConversion"/>
  </si>
  <si>
    <t>0x07200</t>
    <phoneticPr fontId="10" type="noConversion"/>
  </si>
  <si>
    <t>0x1F1FF</t>
    <phoneticPr fontId="10" type="noConversion"/>
  </si>
  <si>
    <t>0x1F200</t>
    <phoneticPr fontId="10" type="noConversion"/>
  </si>
  <si>
    <t>0x2D0FF</t>
    <phoneticPr fontId="10" type="noConversion"/>
  </si>
  <si>
    <t>DIFF DLM</t>
    <phoneticPr fontId="10" type="noConversion"/>
  </si>
  <si>
    <t>0x3F000</t>
    <phoneticPr fontId="10" type="noConversion"/>
  </si>
  <si>
    <t>0x3FFFB</t>
    <phoneticPr fontId="10" type="noConversion"/>
  </si>
  <si>
    <t>0x3FFFF</t>
    <phoneticPr fontId="10" type="noConversion"/>
  </si>
  <si>
    <t>BLD Header</t>
    <phoneticPr fontId="10" type="noConversion"/>
  </si>
  <si>
    <t>0x3EFFF</t>
    <phoneticPr fontId="2" type="noConversion"/>
  </si>
  <si>
    <t>DP Region</t>
    <phoneticPr fontId="10" type="noConversion"/>
  </si>
  <si>
    <t>客戶專用</t>
    <phoneticPr fontId="10" type="noConversion"/>
  </si>
  <si>
    <t>NF CtrlRAM</t>
    <phoneticPr fontId="10" type="noConversion"/>
  </si>
  <si>
    <t>Normal CtrlRAM</t>
    <phoneticPr fontId="10" type="noConversion"/>
  </si>
  <si>
    <t>VN CtrlRAM</t>
    <phoneticPr fontId="10" type="noConversion"/>
  </si>
  <si>
    <t>Hex Size</t>
    <phoneticPr fontId="10" type="noConversion"/>
  </si>
  <si>
    <t>0x06FFF</t>
    <phoneticPr fontId="10" type="noConversion"/>
  </si>
  <si>
    <t>DLM
(160K)</t>
    <phoneticPr fontId="2" type="noConversion"/>
  </si>
  <si>
    <t>0x0700FF</t>
    <phoneticPr fontId="2" type="noConversion"/>
  </si>
  <si>
    <t>0x07100</t>
    <phoneticPr fontId="2" type="noConversion"/>
  </si>
  <si>
    <t>DIFF DLM</t>
    <phoneticPr fontId="2" type="noConversion"/>
  </si>
  <si>
    <t>EVENTBUF_TEMP</t>
    <phoneticPr fontId="2" type="noConversion"/>
  </si>
  <si>
    <t>32 aligment</t>
    <phoneticPr fontId="10" type="noConversion"/>
  </si>
  <si>
    <t>0xA8000</t>
    <phoneticPr fontId="2" type="noConversion"/>
  </si>
  <si>
    <t>EMI_REG_TUNING</t>
    <phoneticPr fontId="2" type="noConversion"/>
  </si>
  <si>
    <t>MP_CtrlRAM</t>
    <phoneticPr fontId="2" type="noConversion"/>
  </si>
  <si>
    <t>EventBufTemp</t>
    <phoneticPr fontId="10" type="noConversion"/>
  </si>
  <si>
    <t>.txt  (128K)
0x0000000- 0x00020000</t>
    <phoneticPr fontId="2" type="noConversion"/>
  </si>
  <si>
    <t>0x00000000</t>
    <phoneticPr fontId="2" type="noConversion"/>
  </si>
  <si>
    <t>Item 256KB</t>
    <phoneticPr fontId="3" type="noConversion"/>
  </si>
  <si>
    <t>0x00017FFF</t>
    <phoneticPr fontId="2" type="noConversion"/>
  </si>
  <si>
    <t>0x0000</t>
    <phoneticPr fontId="10" type="noConversion"/>
  </si>
  <si>
    <t>DP_Initial Code</t>
    <phoneticPr fontId="10" type="noConversion"/>
  </si>
  <si>
    <t>24K</t>
    <phoneticPr fontId="2" type="noConversion"/>
  </si>
  <si>
    <t>DP_Initial Code</t>
  </si>
  <si>
    <t>fwconfig(2K)</t>
    <phoneticPr fontId="2" type="noConversion"/>
  </si>
  <si>
    <t>0x00080000</t>
    <phoneticPr fontId="2" type="noConversion"/>
  </si>
  <si>
    <r>
      <rPr>
        <sz val="12"/>
        <color theme="1"/>
        <rFont val="微軟正黑體"/>
        <family val="2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微軟正黑體"/>
        <family val="2"/>
        <charset val="136"/>
      </rPr>
      <t>紀錄產測資訊</t>
    </r>
    <phoneticPr fontId="2" type="noConversion"/>
  </si>
  <si>
    <t>Client</t>
    <phoneticPr fontId="2" type="noConversion"/>
  </si>
  <si>
    <t>NF_table(6736)</t>
    <phoneticPr fontId="2" type="noConversion"/>
  </si>
  <si>
    <t>4K</t>
    <phoneticPr fontId="3" type="noConversion"/>
  </si>
  <si>
    <t>FW</t>
  </si>
  <si>
    <t>ctrlram_M (11K)</t>
    <phoneticPr fontId="2" type="noConversion"/>
  </si>
  <si>
    <t>MP ctrlram_M (13K)</t>
    <phoneticPr fontId="2" type="noConversion"/>
  </si>
  <si>
    <t>0.256K</t>
    <phoneticPr fontId="2" type="noConversion"/>
  </si>
  <si>
    <t>V noise (6494)</t>
    <phoneticPr fontId="2" type="noConversion"/>
  </si>
  <si>
    <t>Header (256)</t>
    <phoneticPr fontId="2" type="noConversion"/>
  </si>
  <si>
    <t>SPI Debug Buffer</t>
    <phoneticPr fontId="3" type="noConversion"/>
  </si>
  <si>
    <r>
      <t xml:space="preserve">Tool initial </t>
    </r>
    <r>
      <rPr>
        <sz val="12"/>
        <color theme="1"/>
        <rFont val="細明體"/>
        <family val="3"/>
        <charset val="136"/>
      </rPr>
      <t>設定</t>
    </r>
  </si>
  <si>
    <t>.data</t>
    <phoneticPr fontId="2" type="noConversion"/>
  </si>
  <si>
    <t>96K</t>
    <phoneticPr fontId="3" type="noConversion"/>
  </si>
  <si>
    <t>.bss</t>
    <phoneticPr fontId="2" type="noConversion"/>
  </si>
  <si>
    <t xml:space="preserve">stack
</t>
  </si>
  <si>
    <t>EventBuf+NF+CtrlRAM+FW_Config+,,,, +.Data</t>
    <phoneticPr fontId="10" type="noConversion"/>
  </si>
  <si>
    <t>64K</t>
    <phoneticPr fontId="3" type="noConversion"/>
  </si>
  <si>
    <t>IP 
 0x000A7FFF)</t>
    <phoneticPr fontId="2" type="noConversion"/>
  </si>
  <si>
    <t>0x000A7FFF</t>
    <phoneticPr fontId="2" type="noConversion"/>
  </si>
  <si>
    <t>IC &lt;= 13</t>
    <phoneticPr fontId="3" type="noConversion"/>
  </si>
  <si>
    <r>
      <t xml:space="preserve">DIFF DLM / </t>
    </r>
    <r>
      <rPr>
        <sz val="12"/>
        <color rgb="FF0000FF"/>
        <rFont val="Century Gothic"/>
        <family val="2"/>
      </rPr>
      <t>Reserve</t>
    </r>
    <phoneticPr fontId="10" type="noConversion"/>
  </si>
  <si>
    <t>63.5K</t>
    <phoneticPr fontId="2" type="noConversion"/>
  </si>
  <si>
    <t>Item 512KB</t>
    <phoneticPr fontId="3" type="noConversion"/>
  </si>
  <si>
    <t>0x000FF000</t>
    <phoneticPr fontId="2" type="noConversion"/>
  </si>
  <si>
    <t>0x3F000</t>
    <phoneticPr fontId="3" type="noConversion"/>
  </si>
  <si>
    <t>FW Information for Host
end_flag (0x00, N, V, T)</t>
    <phoneticPr fontId="10" type="noConversion"/>
  </si>
  <si>
    <t>4K</t>
    <phoneticPr fontId="2" type="noConversion"/>
  </si>
  <si>
    <t>0x000FFFFF</t>
    <phoneticPr fontId="2" type="noConversion"/>
  </si>
  <si>
    <t>0x3FFFF</t>
    <phoneticPr fontId="3" type="noConversion"/>
  </si>
  <si>
    <t>Byte</t>
    <phoneticPr fontId="10" type="noConversion"/>
  </si>
  <si>
    <t>FREE</t>
    <phoneticPr fontId="3" type="noConversion"/>
  </si>
  <si>
    <t>IC &gt; 13, Max29</t>
    <phoneticPr fontId="3" type="noConversion"/>
  </si>
  <si>
    <t>140K</t>
    <phoneticPr fontId="2" type="noConversion"/>
  </si>
  <si>
    <t>Reserve</t>
    <phoneticPr fontId="10" type="noConversion"/>
  </si>
  <si>
    <t>179.5K</t>
    <phoneticPr fontId="2" type="noConversion"/>
  </si>
  <si>
    <t>Reserve</t>
    <phoneticPr fontId="3" type="noConversion"/>
  </si>
  <si>
    <t>-</t>
    <phoneticPr fontId="2" type="noConversion"/>
  </si>
  <si>
    <t>0x7FFFF</t>
    <phoneticPr fontId="3" type="noConversion"/>
  </si>
  <si>
    <t>10 + 6 K  ctrlram</t>
    <phoneticPr fontId="2" type="noConversion"/>
  </si>
  <si>
    <t>Address</t>
    <phoneticPr fontId="2" type="noConversion"/>
  </si>
  <si>
    <t>1F200</t>
    <phoneticPr fontId="3" type="noConversion"/>
  </si>
  <si>
    <t>EventBuf</t>
    <phoneticPr fontId="3" type="noConversion"/>
  </si>
  <si>
    <t>Vnoise Mask Table</t>
    <phoneticPr fontId="3" type="noConversion"/>
  </si>
  <si>
    <t>SPIDMA Debug+Para Buffer</t>
    <phoneticPr fontId="10" type="noConversion"/>
  </si>
  <si>
    <t>.Reserve</t>
    <phoneticPr fontId="2" type="noConversion"/>
  </si>
  <si>
    <t>DIFF DLM / Reserve</t>
    <phoneticPr fontId="3" type="noConversion"/>
  </si>
  <si>
    <t>flash(bin) map</t>
    <phoneticPr fontId="3" type="noConversion"/>
  </si>
  <si>
    <t>Header</t>
    <phoneticPr fontId="2" type="noConversion"/>
  </si>
  <si>
    <t>.text  (128K)
0x0000000- 0x00020000</t>
    <phoneticPr fontId="2" type="noConversion"/>
  </si>
  <si>
    <t>ILM
(128K)</t>
    <phoneticPr fontId="2" type="noConversion"/>
  </si>
  <si>
    <t>0x00200</t>
    <phoneticPr fontId="10" type="noConversion"/>
  </si>
  <si>
    <t>FW Code (ILM)</t>
    <phoneticPr fontId="10" type="noConversion"/>
  </si>
  <si>
    <t>0x1FFFF</t>
    <phoneticPr fontId="10" type="noConversion"/>
  </si>
  <si>
    <t>0x0001FFFF</t>
    <phoneticPr fontId="2" type="noConversion"/>
  </si>
  <si>
    <t>0x20000</t>
    <phoneticPr fontId="10" type="noConversion"/>
  </si>
  <si>
    <t>Overlay ILM</t>
    <phoneticPr fontId="10" type="noConversion"/>
  </si>
  <si>
    <t>ILM reserved</t>
    <phoneticPr fontId="3" type="noConversion"/>
  </si>
  <si>
    <t>0x0007FFFF</t>
    <phoneticPr fontId="2" type="noConversion"/>
  </si>
  <si>
    <t>384K</t>
    <phoneticPr fontId="3" type="noConversion"/>
  </si>
  <si>
    <t>0x21FFF</t>
    <phoneticPr fontId="10" type="noConversion"/>
  </si>
  <si>
    <t>fwconfig(2048)</t>
    <phoneticPr fontId="2" type="noConversion"/>
  </si>
  <si>
    <t>0x80000</t>
    <phoneticPr fontId="2" type="noConversion"/>
  </si>
  <si>
    <t>0x22000</t>
    <phoneticPr fontId="10" type="noConversion"/>
  </si>
  <si>
    <t>ctrlram (14K)</t>
    <phoneticPr fontId="2" type="noConversion"/>
  </si>
  <si>
    <t>DLM
(144K)</t>
    <phoneticPr fontId="3" type="noConversion"/>
  </si>
  <si>
    <t>0x34FFB</t>
    <phoneticPr fontId="10" type="noConversion"/>
  </si>
  <si>
    <t>"+" stack</t>
    <phoneticPr fontId="3" type="noConversion"/>
  </si>
  <si>
    <t>MP ctrlram (10K)</t>
    <phoneticPr fontId="2" type="noConversion"/>
  </si>
  <si>
    <t>0x34FFC</t>
    <phoneticPr fontId="10" type="noConversion"/>
  </si>
  <si>
    <t>NF_table(17584)</t>
    <phoneticPr fontId="2" type="noConversion"/>
  </si>
  <si>
    <t>0x34FFF</t>
    <phoneticPr fontId="10" type="noConversion"/>
  </si>
  <si>
    <t>for DRIVER&amp;TL</t>
    <phoneticPr fontId="3" type="noConversion"/>
  </si>
  <si>
    <t>V noise (5728)</t>
    <phoneticPr fontId="2" type="noConversion"/>
  </si>
  <si>
    <t>0x35000</t>
    <phoneticPr fontId="10" type="noConversion"/>
  </si>
  <si>
    <t>FW Debug</t>
    <phoneticPr fontId="3" type="noConversion"/>
  </si>
  <si>
    <t>spi_vec(1024)</t>
    <phoneticPr fontId="2" type="noConversion"/>
  </si>
  <si>
    <t>HDR sec</t>
    <phoneticPr fontId="2" type="noConversion"/>
  </si>
  <si>
    <t>0x37000</t>
    <phoneticPr fontId="3" type="noConversion"/>
  </si>
  <si>
    <t>Empty</t>
    <phoneticPr fontId="2" type="noConversion"/>
  </si>
  <si>
    <t>Header (512)</t>
    <phoneticPr fontId="2" type="noConversion"/>
  </si>
  <si>
    <t>0x3BFFF</t>
    <phoneticPr fontId="10" type="noConversion"/>
  </si>
  <si>
    <t>Project ID</t>
    <phoneticPr fontId="3" type="noConversion"/>
  </si>
  <si>
    <t>0x3CFFF</t>
    <phoneticPr fontId="10" type="noConversion"/>
  </si>
  <si>
    <t>0x3D000</t>
    <phoneticPr fontId="3" type="noConversion"/>
  </si>
  <si>
    <r>
      <t>NVT</t>
    </r>
    <r>
      <rPr>
        <sz val="12"/>
        <color theme="1"/>
        <rFont val="細明體"/>
        <family val="3"/>
        <charset val="136"/>
      </rPr>
      <t>產測紀錄</t>
    </r>
    <phoneticPr fontId="3" type="noConversion"/>
  </si>
  <si>
    <t>ctrlram(20k)</t>
    <phoneticPr fontId="3" type="noConversion"/>
  </si>
  <si>
    <t>0x0009F000</t>
    <phoneticPr fontId="3" type="noConversion"/>
  </si>
  <si>
    <t>0x3DFFF</t>
    <phoneticPr fontId="10" type="noConversion"/>
  </si>
  <si>
    <t>0x000A4000</t>
    <phoneticPr fontId="2" type="noConversion"/>
  </si>
  <si>
    <t>Initial Code</t>
    <phoneticPr fontId="2" type="noConversion"/>
  </si>
  <si>
    <t>DLM reserved</t>
    <phoneticPr fontId="3" type="noConversion"/>
  </si>
  <si>
    <t>0x000FEFFF</t>
    <phoneticPr fontId="2" type="noConversion"/>
  </si>
  <si>
    <t>364K</t>
    <phoneticPr fontId="3" type="noConversion"/>
  </si>
  <si>
    <t>REG sec</t>
    <phoneticPr fontId="3" type="noConversion"/>
  </si>
  <si>
    <t>REG
(4K)</t>
    <phoneticPr fontId="2" type="noConversion"/>
  </si>
  <si>
    <t>DLM map</t>
  </si>
  <si>
    <t>Owner</t>
    <phoneticPr fontId="3" type="noConversion"/>
  </si>
  <si>
    <t>Size(K bytes)</t>
    <phoneticPr fontId="3" type="noConversion"/>
  </si>
  <si>
    <t>flash Addr</t>
    <phoneticPr fontId="3" type="noConversion"/>
  </si>
  <si>
    <t>sram Addr</t>
    <phoneticPr fontId="3" type="noConversion"/>
  </si>
  <si>
    <t>0x80000</t>
    <phoneticPr fontId="3" type="noConversion"/>
  </si>
  <si>
    <t>0x00000</t>
  </si>
  <si>
    <t>MMAP_GMD_SCANRAW(tmp)</t>
    <phoneticPr fontId="3" type="noConversion"/>
  </si>
  <si>
    <t>CtrlRAM_ICM</t>
    <phoneticPr fontId="2" type="noConversion"/>
  </si>
  <si>
    <t>0x00200</t>
    <phoneticPr fontId="2" type="noConversion"/>
  </si>
  <si>
    <t>MP_CtrlRAM_ICM</t>
    <phoneticPr fontId="2" type="noConversion"/>
  </si>
  <si>
    <t>0x22000</t>
    <phoneticPr fontId="2" type="noConversion"/>
  </si>
  <si>
    <t>Diff CtrlRAM + Reserved</t>
    <phoneticPr fontId="2" type="noConversion"/>
  </si>
  <si>
    <t>FW Reserved</t>
    <phoneticPr fontId="2" type="noConversion"/>
  </si>
  <si>
    <t>0x35000</t>
    <phoneticPr fontId="2" type="noConversion"/>
  </si>
  <si>
    <t>NF Table</t>
    <phoneticPr fontId="2" type="noConversion"/>
  </si>
  <si>
    <t>0x37000</t>
    <phoneticPr fontId="2" type="noConversion"/>
  </si>
  <si>
    <t>Project ID</t>
    <phoneticPr fontId="2" type="noConversion"/>
  </si>
  <si>
    <t>AE</t>
    <phoneticPr fontId="3" type="noConversion"/>
  </si>
  <si>
    <t>0x3C000</t>
    <phoneticPr fontId="2" type="noConversion"/>
  </si>
  <si>
    <t>Vnoise Ctrlram + Align2Bytes</t>
    <phoneticPr fontId="2" type="noConversion"/>
  </si>
  <si>
    <t>MP</t>
    <phoneticPr fontId="3" type="noConversion"/>
  </si>
  <si>
    <t>0x3D000</t>
    <phoneticPr fontId="2" type="noConversion"/>
  </si>
  <si>
    <t>HeaderCopy</t>
    <phoneticPr fontId="2" type="noConversion"/>
  </si>
  <si>
    <t>initialcode</t>
    <phoneticPr fontId="2" type="noConversion"/>
  </si>
  <si>
    <t>DISPLAY</t>
    <phoneticPr fontId="2" type="noConversion"/>
  </si>
  <si>
    <t>0x3E000</t>
    <phoneticPr fontId="2" type="noConversion"/>
  </si>
  <si>
    <t>.data+.bss</t>
    <phoneticPr fontId="2" type="noConversion"/>
  </si>
  <si>
    <t>OSD</t>
    <phoneticPr fontId="21" type="noConversion"/>
  </si>
  <si>
    <t>0x40000</t>
    <phoneticPr fontId="2" type="noConversion"/>
  </si>
  <si>
    <t>Stack</t>
    <phoneticPr fontId="3" type="noConversion"/>
  </si>
  <si>
    <t>0x96A00</t>
    <phoneticPr fontId="3" type="noConversion"/>
  </si>
  <si>
    <t>FLASH</t>
    <phoneticPr fontId="3" type="noConversion"/>
  </si>
  <si>
    <t>EmiTuningReserved</t>
    <phoneticPr fontId="3" type="noConversion"/>
  </si>
  <si>
    <t>CtrlRAM_ICS (DIFF)</t>
    <phoneticPr fontId="2" type="noConversion"/>
  </si>
  <si>
    <t>NF_Table</t>
  </si>
  <si>
    <t>zone reserved</t>
    <phoneticPr fontId="3" type="noConversion"/>
  </si>
  <si>
    <t>UNUSE ALIGN 2Bytes</t>
  </si>
  <si>
    <t>.text  (86K)
0x0000000- 0x000157FF</t>
    <phoneticPr fontId="2" type="noConversion"/>
  </si>
  <si>
    <t>ILM
(86K)</t>
    <phoneticPr fontId="2" type="noConversion"/>
  </si>
  <si>
    <t>Header Reserved</t>
    <phoneticPr fontId="2" type="noConversion"/>
  </si>
  <si>
    <t>Common Header</t>
    <phoneticPr fontId="3" type="noConversion"/>
  </si>
  <si>
    <t>0x000157FF</t>
    <phoneticPr fontId="2" type="noConversion"/>
  </si>
  <si>
    <t>0x00220</t>
    <phoneticPr fontId="10" type="noConversion"/>
  </si>
  <si>
    <t>Flash Header #1 (ILM)</t>
    <phoneticPr fontId="3" type="noConversion"/>
  </si>
  <si>
    <t>0x00250</t>
    <phoneticPr fontId="10" type="noConversion"/>
  </si>
  <si>
    <t>Flash Header #2 (DLM)</t>
    <phoneticPr fontId="3" type="noConversion"/>
  </si>
  <si>
    <t>0x00280</t>
    <phoneticPr fontId="3" type="noConversion"/>
  </si>
  <si>
    <t>Flash Header #3 (Reg)</t>
    <phoneticPr fontId="3" type="noConversion"/>
  </si>
  <si>
    <t>NF (4048)</t>
    <phoneticPr fontId="2" type="noConversion"/>
  </si>
  <si>
    <t>DLM
(102K)</t>
    <phoneticPr fontId="3" type="noConversion"/>
  </si>
  <si>
    <t>0x002B0</t>
    <phoneticPr fontId="3" type="noConversion"/>
  </si>
  <si>
    <t>Flash Header #4 (OTP)</t>
    <phoneticPr fontId="3" type="noConversion"/>
  </si>
  <si>
    <t>ctrlram (12K)</t>
    <phoneticPr fontId="2" type="noConversion"/>
  </si>
  <si>
    <t>..</t>
    <phoneticPr fontId="3" type="noConversion"/>
  </si>
  <si>
    <t>MP ctrlram (9K)</t>
    <phoneticPr fontId="2" type="noConversion"/>
  </si>
  <si>
    <t>0x00460</t>
    <phoneticPr fontId="10" type="noConversion"/>
  </si>
  <si>
    <t>0x157FF</t>
    <phoneticPr fontId="10" type="noConversion"/>
  </si>
  <si>
    <t>Header_Copy(400)</t>
    <phoneticPr fontId="2" type="noConversion"/>
  </si>
  <si>
    <t>0x16000</t>
    <phoneticPr fontId="10" type="noConversion"/>
  </si>
  <si>
    <t>CtrlRAM+FW_Config+,,,, +.Data</t>
    <phoneticPr fontId="10" type="noConversion"/>
  </si>
  <si>
    <t>"+" stack</t>
  </si>
  <si>
    <t>for DRIVER&amp;TL</t>
  </si>
  <si>
    <t>0x39FFF</t>
    <phoneticPr fontId="10" type="noConversion"/>
  </si>
  <si>
    <t>0x3A000</t>
    <phoneticPr fontId="3" type="noConversion"/>
  </si>
  <si>
    <t>0x3AFFF</t>
    <phoneticPr fontId="10" type="noConversion"/>
  </si>
  <si>
    <t>0x3B000</t>
    <phoneticPr fontId="3" type="noConversion"/>
  </si>
  <si>
    <t>0x00460</t>
    <phoneticPr fontId="2" type="noConversion"/>
  </si>
  <si>
    <t>0x16000</t>
    <phoneticPr fontId="2" type="noConversion"/>
  </si>
  <si>
    <t>HEADER &amp; DP initial code</t>
    <phoneticPr fontId="3" type="noConversion"/>
  </si>
  <si>
    <t>DISPLAY</t>
  </si>
  <si>
    <t>0x3C000</t>
  </si>
  <si>
    <t>VOL</t>
    <phoneticPr fontId="3" type="noConversion"/>
  </si>
  <si>
    <t>0x3D000</t>
  </si>
  <si>
    <t>LUT</t>
  </si>
  <si>
    <t>0x3E000</t>
  </si>
  <si>
    <t>GMA</t>
  </si>
  <si>
    <t>0x3F000</t>
  </si>
  <si>
    <t>LDC initial code (NT51928TT only)</t>
  </si>
  <si>
    <t>0x40000</t>
  </si>
  <si>
    <t>OSD</t>
  </si>
  <si>
    <t>N/A</t>
    <phoneticPr fontId="3" type="noConversion"/>
  </si>
  <si>
    <t>0x62000</t>
    <phoneticPr fontId="3" type="noConversion"/>
  </si>
  <si>
    <t>Header_Copy</t>
  </si>
  <si>
    <t>0x8CF80</t>
    <phoneticPr fontId="3" type="noConversion"/>
  </si>
  <si>
    <t>51929 &amp; 51932</t>
    <phoneticPr fontId="10" type="noConversion"/>
  </si>
  <si>
    <t>0x1FC00</t>
    <phoneticPr fontId="10" type="noConversion"/>
  </si>
  <si>
    <t>0x3B000</t>
    <phoneticPr fontId="10" type="noConversion"/>
  </si>
  <si>
    <t>FW_Config</t>
    <phoneticPr fontId="10" type="noConversion"/>
  </si>
  <si>
    <t>0x3B800</t>
    <phoneticPr fontId="10" type="noConversion"/>
  </si>
  <si>
    <t>0x3BFFC</t>
    <phoneticPr fontId="10" type="noConversion"/>
  </si>
  <si>
    <t>CtrlRAM_ICS</t>
    <phoneticPr fontId="2" type="noConversion"/>
  </si>
  <si>
    <t>MP_CtrlRAM_ICS</t>
    <phoneticPr fontId="2" type="noConversion"/>
  </si>
  <si>
    <t>SPI_vecotr</t>
    <phoneticPr fontId="2" type="noConversion"/>
  </si>
  <si>
    <t>0x94C00</t>
    <phoneticPr fontId="3" type="noConversion"/>
  </si>
  <si>
    <t>0x21B90</t>
    <phoneticPr fontId="10" type="noConversion"/>
  </si>
  <si>
    <t>0x26590</t>
    <phoneticPr fontId="10" type="noConversion"/>
  </si>
  <si>
    <t>0x2D100</t>
    <phoneticPr fontId="10" type="noConversion"/>
  </si>
  <si>
    <t>0x3FFFC</t>
    <phoneticPr fontId="10" type="noConversion"/>
  </si>
  <si>
    <t>Total TP Size</t>
    <phoneticPr fontId="10" type="noConversion"/>
  </si>
  <si>
    <t>CtrlRAM Size</t>
    <phoneticPr fontId="10" type="noConversion"/>
  </si>
  <si>
    <t>DIFF CtrlRAM</t>
    <phoneticPr fontId="10" type="noConversion"/>
  </si>
  <si>
    <t>NF</t>
    <phoneticPr fontId="10" type="noConversion"/>
  </si>
  <si>
    <t>Normal</t>
    <phoneticPr fontId="10" type="noConversion"/>
  </si>
  <si>
    <t>VN</t>
    <phoneticPr fontId="10" type="noConversion"/>
  </si>
  <si>
    <t>Diff DLM</t>
    <phoneticPr fontId="10" type="noConversion"/>
  </si>
  <si>
    <t>Item</t>
    <phoneticPr fontId="10" type="noConversion"/>
  </si>
  <si>
    <t>MP</t>
    <phoneticPr fontId="10" type="noConversion"/>
  </si>
  <si>
    <t>Size (bytes)</t>
    <phoneticPr fontId="10" type="noConversion"/>
  </si>
  <si>
    <t>DIFF CtrlRAM Reserved</t>
    <phoneticPr fontId="10" type="noConversion"/>
  </si>
  <si>
    <t>0x35D00</t>
    <phoneticPr fontId="10" type="noConversion"/>
  </si>
  <si>
    <t>0x3EFFF</t>
    <phoneticPr fontId="10" type="noConversion"/>
  </si>
  <si>
    <t>0x001FF</t>
    <phoneticPr fontId="10" type="noConversion"/>
  </si>
  <si>
    <t>0x227FF</t>
    <phoneticPr fontId="10" type="noConversion"/>
  </si>
  <si>
    <t>FW Config</t>
    <phoneticPr fontId="10" type="noConversion"/>
  </si>
  <si>
    <t>0x226FF</t>
    <phoneticPr fontId="10" type="noConversion"/>
  </si>
  <si>
    <t>FW Register (TP+DP)</t>
    <phoneticPr fontId="10" type="noConversion"/>
  </si>
  <si>
    <t>0x22700</t>
    <phoneticPr fontId="10" type="noConversion"/>
  </si>
  <si>
    <t>0x22800</t>
    <phoneticPr fontId="10" type="noConversion"/>
  </si>
  <si>
    <t>0x26000</t>
    <phoneticPr fontId="10" type="noConversion"/>
  </si>
  <si>
    <t>MP CtrlRAM</t>
    <phoneticPr fontId="10" type="noConversion"/>
  </si>
  <si>
    <t>0x28800</t>
    <phoneticPr fontId="10" type="noConversion"/>
  </si>
  <si>
    <t>0x2A000</t>
    <phoneticPr fontId="10" type="noConversion"/>
  </si>
  <si>
    <t>0x2E800</t>
    <phoneticPr fontId="10" type="noConversion"/>
  </si>
  <si>
    <t>0x3B7FF</t>
    <phoneticPr fontId="10" type="noConversion"/>
  </si>
  <si>
    <t>Project ID</t>
    <phoneticPr fontId="10" type="noConversion"/>
  </si>
  <si>
    <t>0x3C000</t>
    <phoneticPr fontId="10" type="noConversion"/>
  </si>
  <si>
    <t>0x3D000</t>
    <phoneticPr fontId="10" type="noConversion"/>
  </si>
  <si>
    <t>0x3E000</t>
    <phoneticPr fontId="10" type="noConversion"/>
  </si>
  <si>
    <t>0x30310</t>
    <phoneticPr fontId="10" type="noConversion"/>
  </si>
  <si>
    <t>FW Size</t>
    <phoneticPr fontId="10" type="noConversion"/>
  </si>
  <si>
    <t>0x27EF0</t>
    <phoneticPr fontId="10" type="noConversion"/>
  </si>
  <si>
    <t>FW Header Copy</t>
    <phoneticPr fontId="10" type="noConversion"/>
  </si>
  <si>
    <t>0x000FF</t>
    <phoneticPr fontId="10" type="noConversion"/>
  </si>
  <si>
    <t>0x2297F</t>
    <phoneticPr fontId="10" type="noConversion"/>
  </si>
  <si>
    <t>0x22780</t>
    <phoneticPr fontId="10" type="noConversion"/>
  </si>
  <si>
    <t>0x2277F</t>
    <phoneticPr fontId="10" type="noConversion"/>
  </si>
  <si>
    <t>0x25400</t>
    <phoneticPr fontId="10" type="noConversion"/>
  </si>
  <si>
    <t>0x27800</t>
    <phoneticPr fontId="10" type="noConversion"/>
  </si>
  <si>
    <t>0x2C800</t>
    <phoneticPr fontId="10" type="noConversion"/>
  </si>
  <si>
    <t>0x315D0</t>
    <phoneticPr fontId="10" type="noConversion"/>
  </si>
  <si>
    <t>0x32A70</t>
    <phoneticPr fontId="10" type="noConversion"/>
  </si>
  <si>
    <t>FW Debug</t>
    <phoneticPr fontId="10" type="noConversion"/>
  </si>
  <si>
    <t>Reserved</t>
    <phoneticPr fontId="10" type="noConversion"/>
  </si>
  <si>
    <t>FW Header Reserved</t>
    <phoneticPr fontId="10" type="noConversion"/>
  </si>
  <si>
    <t>FW Common Header</t>
    <phoneticPr fontId="10" type="noConversion"/>
  </si>
  <si>
    <t>0x0021F</t>
    <phoneticPr fontId="10" type="noConversion"/>
  </si>
  <si>
    <t>FW Flash Header</t>
    <phoneticPr fontId="10" type="noConversion"/>
  </si>
  <si>
    <t>FW Flash Header (ILM, DLM, Reg, OTP)</t>
    <phoneticPr fontId="10" type="noConversion"/>
  </si>
  <si>
    <t>0x16800</t>
    <phoneticPr fontId="10" type="noConversion"/>
  </si>
  <si>
    <t>0x167FF</t>
    <phoneticPr fontId="10" type="noConversion"/>
  </si>
  <si>
    <t>0x177D0</t>
    <phoneticPr fontId="10" type="noConversion"/>
  </si>
  <si>
    <t>0x1A7D0</t>
    <phoneticPr fontId="10" type="noConversion"/>
  </si>
  <si>
    <t>Flash Addr.</t>
    <phoneticPr fontId="10" type="noConversion"/>
  </si>
  <si>
    <t>0x1CBD0</t>
    <phoneticPr fontId="10" type="noConversion"/>
  </si>
  <si>
    <t>0x1E230</t>
    <phoneticPr fontId="10" type="noConversion"/>
  </si>
  <si>
    <t>0x1F800</t>
    <phoneticPr fontId="10" type="noConversion"/>
  </si>
  <si>
    <t>NF CtrlRAM (Slave R)</t>
    <phoneticPr fontId="10" type="noConversion"/>
  </si>
  <si>
    <t>NF CtrlRAM (Master)</t>
    <phoneticPr fontId="10" type="noConversion"/>
  </si>
  <si>
    <t>Normal CtrlRAM (Master)</t>
    <phoneticPr fontId="10" type="noConversion"/>
  </si>
  <si>
    <t>MP CtrlRAM (Master)</t>
    <phoneticPr fontId="10" type="noConversion"/>
  </si>
  <si>
    <t>VN CtrlRAM (Master)</t>
    <phoneticPr fontId="10" type="noConversion"/>
  </si>
  <si>
    <t>FW Common/Flash Header Copy (Master)</t>
    <phoneticPr fontId="10" type="noConversion"/>
  </si>
  <si>
    <t>Normal CtrlRAM (Slave R)</t>
    <phoneticPr fontId="10" type="noConversion"/>
  </si>
  <si>
    <t>MP CtrlRAM (Slave R)</t>
    <phoneticPr fontId="10" type="noConversion"/>
  </si>
  <si>
    <t>VN CtrlRAM (Slave R)</t>
    <phoneticPr fontId="10" type="noConversion"/>
  </si>
  <si>
    <t>FW Common/Flash Header Copy (Slave R)</t>
    <phoneticPr fontId="10" type="noConversion"/>
  </si>
  <si>
    <t>0x207D0</t>
    <phoneticPr fontId="10" type="noConversion"/>
  </si>
  <si>
    <t>0x237D0</t>
    <phoneticPr fontId="10" type="noConversion"/>
  </si>
  <si>
    <t>0x25BD0</t>
    <phoneticPr fontId="10" type="noConversion"/>
  </si>
  <si>
    <t>0x27230</t>
    <phoneticPr fontId="10" type="noConversion"/>
  </si>
  <si>
    <t>NF CtrlRAM (Slave L)</t>
    <phoneticPr fontId="10" type="noConversion"/>
  </si>
  <si>
    <t>Normal CtrlRAM (Slave L)</t>
    <phoneticPr fontId="10" type="noConversion"/>
  </si>
  <si>
    <t>MP CtrlRAM (Slave L)</t>
    <phoneticPr fontId="10" type="noConversion"/>
  </si>
  <si>
    <t>VN CtrlRAM (Slave L)</t>
    <phoneticPr fontId="10" type="noConversion"/>
  </si>
  <si>
    <t>FW Common/Flash Header Copy (Slave L)</t>
    <phoneticPr fontId="10" type="noConversion"/>
  </si>
  <si>
    <t>0x297D0</t>
    <phoneticPr fontId="10" type="noConversion"/>
  </si>
  <si>
    <t>0x2C7D0</t>
    <phoneticPr fontId="10" type="noConversion"/>
  </si>
  <si>
    <t>0x2EBD0</t>
    <phoneticPr fontId="10" type="noConversion"/>
  </si>
  <si>
    <t>0x30230</t>
    <phoneticPr fontId="10" type="noConversion"/>
  </si>
  <si>
    <t>51927 &amp; 51928 (Not NB)</t>
    <phoneticPr fontId="10" type="noConversion"/>
  </si>
  <si>
    <t>DP Region (Initial Code)</t>
    <phoneticPr fontId="10" type="noConversion"/>
  </si>
  <si>
    <t>0x40000</t>
    <phoneticPr fontId="10" type="noConversion"/>
  </si>
  <si>
    <t>0x3A000</t>
    <phoneticPr fontId="10" type="noConversion"/>
  </si>
  <si>
    <t>0x61FFF</t>
    <phoneticPr fontId="10" type="noConversion"/>
  </si>
  <si>
    <t>0xA000</t>
    <phoneticPr fontId="10" type="noConversion"/>
  </si>
  <si>
    <t>0xA0FF</t>
    <phoneticPr fontId="10" type="noConversion"/>
  </si>
  <si>
    <t>0xA100</t>
    <phoneticPr fontId="10" type="noConversion"/>
  </si>
  <si>
    <t>0xA1FF</t>
    <phoneticPr fontId="10" type="noConversion"/>
  </si>
  <si>
    <t>0xA200</t>
    <phoneticPr fontId="10" type="noConversion"/>
  </si>
  <si>
    <t>0x22C00</t>
    <phoneticPr fontId="10" type="noConversion"/>
  </si>
  <si>
    <t>0x25610</t>
    <phoneticPr fontId="10" type="noConversion"/>
  </si>
  <si>
    <t>0x2B210</t>
    <phoneticPr fontId="10" type="noConversion"/>
  </si>
  <si>
    <t>0x2D30C</t>
    <phoneticPr fontId="10" type="noConversion"/>
  </si>
  <si>
    <t>0x33200</t>
    <phoneticPr fontId="10" type="noConversion"/>
  </si>
  <si>
    <t>0x36FFC</t>
    <phoneticPr fontId="10" type="noConversion"/>
  </si>
  <si>
    <t>客戶專用 (產測資訊)</t>
    <phoneticPr fontId="10" type="noConversion"/>
  </si>
  <si>
    <r>
      <rPr>
        <sz val="11"/>
        <color theme="1"/>
        <rFont val="微軟正黑體"/>
        <family val="2"/>
        <charset val="136"/>
      </rPr>
      <t>客戶專用</t>
    </r>
    <r>
      <rPr>
        <sz val="11"/>
        <color theme="1"/>
        <rFont val="Aptos Display"/>
        <family val="2"/>
      </rPr>
      <t xml:space="preserve"> (產測資訊)</t>
    </r>
    <phoneticPr fontId="10" type="noConversion"/>
  </si>
  <si>
    <t>0x34600</t>
    <phoneticPr fontId="10" type="noConversion"/>
  </si>
  <si>
    <t>0x35FFF</t>
    <phoneticPr fontId="10" type="noConversion"/>
  </si>
  <si>
    <t>0x38000</t>
    <phoneticPr fontId="10" type="noConversion"/>
  </si>
  <si>
    <t>DP Dummy</t>
    <phoneticPr fontId="10" type="noConversion"/>
  </si>
  <si>
    <t>0x40FFF</t>
    <phoneticPr fontId="10" type="noConversion"/>
  </si>
  <si>
    <t>DP Region (1IC or 2IC)</t>
    <phoneticPr fontId="10" type="noConversion"/>
  </si>
  <si>
    <t>0x49FFF</t>
    <phoneticPr fontId="10" type="noConversion"/>
  </si>
  <si>
    <t>51950 (No Backup EN)</t>
    <phoneticPr fontId="10" type="noConversion"/>
  </si>
  <si>
    <t>51951 (No Back Up EN)</t>
    <phoneticPr fontId="10" type="noConversion"/>
  </si>
  <si>
    <t>DP Region (2IC Only) -&gt; 直接合到 512 kB</t>
    <phoneticPr fontId="10" type="noConversion"/>
  </si>
  <si>
    <t>0x4A000</t>
    <phoneticPr fontId="10" type="noConversion"/>
  </si>
  <si>
    <t>0x7FFFF</t>
    <phoneticPr fontId="10" type="noConversion"/>
  </si>
  <si>
    <t>DP Layout</t>
    <phoneticPr fontId="10" type="noConversion"/>
  </si>
  <si>
    <t>See 51950 DP Perspective</t>
    <phoneticPr fontId="10" type="noConversion"/>
  </si>
  <si>
    <t>0x41000</t>
    <phoneticPr fontId="10" type="noConversion"/>
  </si>
  <si>
    <t>0x5CFFF</t>
    <phoneticPr fontId="10" type="noConversion"/>
  </si>
  <si>
    <t>DP Region (LDC)</t>
    <phoneticPr fontId="10" type="noConversion"/>
  </si>
  <si>
    <t>0x5D000</t>
    <phoneticPr fontId="10" type="noConversion"/>
  </si>
  <si>
    <t>0x7000</t>
    <phoneticPr fontId="10" type="noConversion"/>
  </si>
  <si>
    <t>0x70FF</t>
    <phoneticPr fontId="10" type="noConversion"/>
  </si>
  <si>
    <t>0x7100</t>
    <phoneticPr fontId="10" type="noConversion"/>
  </si>
  <si>
    <t>0x71FF</t>
    <phoneticPr fontId="10" type="noConversion"/>
  </si>
  <si>
    <t>0x1F97F</t>
    <phoneticPr fontId="10" type="noConversion"/>
  </si>
  <si>
    <t>0x21650</t>
    <phoneticPr fontId="10" type="noConversion"/>
  </si>
  <si>
    <t>0x24250</t>
    <phoneticPr fontId="10" type="noConversion"/>
  </si>
  <si>
    <t>0x27650</t>
    <phoneticPr fontId="10" type="noConversion"/>
  </si>
  <si>
    <t>0x28FB0</t>
    <phoneticPr fontId="10" type="noConversion"/>
  </si>
  <si>
    <t>0x2F200</t>
    <phoneticPr fontId="10" type="noConversion"/>
  </si>
  <si>
    <t>0x24F80</t>
    <phoneticPr fontId="10" type="noConversion"/>
  </si>
  <si>
    <t>0x26680</t>
    <phoneticPr fontId="10" type="noConversion"/>
  </si>
  <si>
    <t>0x26780</t>
    <phoneticPr fontId="10" type="noConversion"/>
  </si>
  <si>
    <t>Normal CtrlRAM (Slave)</t>
    <phoneticPr fontId="10" type="noConversion"/>
  </si>
  <si>
    <t>Normal CtrlRAM  (Master)</t>
    <phoneticPr fontId="10" type="noConversion"/>
  </si>
  <si>
    <t>0x28F80</t>
    <phoneticPr fontId="10" type="noConversion"/>
  </si>
  <si>
    <t>MP CtrlRAM (Slave)</t>
    <phoneticPr fontId="10" type="noConversion"/>
  </si>
  <si>
    <t>FW Header Copy (Slave)</t>
    <phoneticPr fontId="10" type="noConversion"/>
  </si>
  <si>
    <t>0x2A680</t>
    <phoneticPr fontId="10" type="noConversion"/>
  </si>
  <si>
    <t>FW Header Copy (Master)</t>
    <phoneticPr fontId="10" type="noConversion"/>
  </si>
  <si>
    <t>0x2A780</t>
    <phoneticPr fontId="10" type="noConversion"/>
  </si>
  <si>
    <t>Vector</t>
    <phoneticPr fontId="10" type="noConversion"/>
  </si>
  <si>
    <t>0x2C710</t>
    <phoneticPr fontId="10" type="noConversion"/>
  </si>
  <si>
    <t>Vector CtrlRAM</t>
    <phoneticPr fontId="10" type="noConversion"/>
  </si>
  <si>
    <t>0x2D728</t>
    <phoneticPr fontId="10" type="noConversion"/>
  </si>
  <si>
    <t>FW Config Backup</t>
    <phoneticPr fontId="10" type="noConversion"/>
  </si>
  <si>
    <t>0x2F000</t>
    <phoneticPr fontId="10" type="noConversion"/>
  </si>
  <si>
    <t>0x2F77F</t>
    <phoneticPr fontId="10" type="noConversion"/>
  </si>
  <si>
    <t>0x2FFFC</t>
    <phoneticPr fontId="10" type="noConversion"/>
  </si>
  <si>
    <t>0x2FFFF</t>
    <phoneticPr fontId="10" type="noConversion"/>
  </si>
  <si>
    <t>??</t>
    <phoneticPr fontId="10" type="noConversion"/>
  </si>
  <si>
    <t>0x19FD0</t>
    <phoneticPr fontId="10" type="noConversion"/>
  </si>
  <si>
    <t>0x1C3D0</t>
    <phoneticPr fontId="10" type="noConversion"/>
  </si>
  <si>
    <t>0x1DA30</t>
    <phoneticPr fontId="10" type="noConversion"/>
  </si>
  <si>
    <t>DLM CtrlRAM</t>
    <phoneticPr fontId="10" type="noConversion"/>
  </si>
  <si>
    <t>0x166FF</t>
    <phoneticPr fontId="10" type="noConversion"/>
  </si>
  <si>
    <t>FW Register (TP)</t>
    <phoneticPr fontId="10" type="noConversion"/>
  </si>
  <si>
    <t>FW Register (DP)</t>
    <phoneticPr fontId="10" type="noConversion"/>
  </si>
  <si>
    <t>0x16700</t>
    <phoneticPr fontId="10" type="noConversion"/>
  </si>
  <si>
    <t>0x1673F</t>
    <phoneticPr fontId="10" type="noConversion"/>
  </si>
  <si>
    <t>0x16740</t>
    <phoneticPr fontId="10" type="noConversion"/>
  </si>
  <si>
    <t>0x1F980</t>
    <phoneticPr fontId="10" type="noConversion"/>
  </si>
  <si>
    <t>0x1F9FF</t>
    <phoneticPr fontId="10" type="noConversion"/>
  </si>
  <si>
    <t>Diff DLM (&lt;= 13 IC)</t>
    <phoneticPr fontId="10" type="noConversion"/>
  </si>
  <si>
    <t>0x22980</t>
    <phoneticPr fontId="10" type="noConversion"/>
  </si>
  <si>
    <t>0x229FF</t>
    <phoneticPr fontId="10" type="noConversion"/>
  </si>
  <si>
    <t>Header Backup</t>
    <phoneticPr fontId="10" type="noConversion"/>
  </si>
  <si>
    <t>0x32DC0</t>
    <phoneticPr fontId="10" type="noConversion"/>
  </si>
  <si>
    <t>FW Header Backup (from 0x00000)</t>
    <phoneticPr fontId="10" type="noConversion"/>
  </si>
  <si>
    <t>0x34000</t>
    <phoneticPr fontId="10" type="noConversion"/>
  </si>
  <si>
    <t>0x347FF</t>
    <phoneticPr fontId="10" type="noConversion"/>
  </si>
  <si>
    <t>0x3B77F</t>
    <phoneticPr fontId="10" type="noConversion"/>
  </si>
  <si>
    <t>DP Region (LDC) - *51928 Only*</t>
    <phoneticPr fontId="10" type="noConversion"/>
  </si>
  <si>
    <t>0x32F50</t>
  </si>
  <si>
    <t>1.X.X</t>
  </si>
  <si>
    <t>備註</t>
  </si>
  <si>
    <t>1. Header Copy 在 1.x.x 和 2.0.0 的 postbuild combiner cmd 上 copy 長度不同</t>
  </si>
  <si>
    <t>Header Copy (2.0.0)</t>
  </si>
  <si>
    <t>Header Copy (1.x.x)</t>
  </si>
  <si>
    <t>51926 (2.0.0)</t>
  </si>
  <si>
    <t>51926 (1.X.X)</t>
  </si>
  <si>
    <t>0x3B7FF</t>
  </si>
  <si>
    <t>FW Config &amp; Reg Backup</t>
  </si>
  <si>
    <t>2. Fw Config Backup 長度
2.0.0 = 1920, 1.x.x = 2048</t>
  </si>
  <si>
    <t>2. VN CtrlRAM 長度
2.0.0 = 5278, 1.x.x = 5728</t>
  </si>
  <si>
    <t>1. Header Copy Start Address
2.0.0 = 0x32A70, 1.x.x = 0x32F50</t>
  </si>
  <si>
    <t>FW Config &amp; Reg Backup (from 0x16000)</t>
  </si>
  <si>
    <t>0x3BFFC</t>
  </si>
  <si>
    <t>0x3BFFF</t>
  </si>
  <si>
    <t>Hint</t>
  </si>
  <si>
    <r>
      <t>注意，</t>
    </r>
    <r>
      <rPr>
        <b/>
        <sz val="11"/>
        <color rgb="FFFF0000"/>
        <rFont val="Aptos Display"/>
        <family val="2"/>
      </rPr>
      <t>FW Config Backup &amp; end flag 是透過 Postbuild 動態放置的</t>
    </r>
    <r>
      <rPr>
        <sz val="11"/>
        <color theme="1"/>
        <rFont val="Aptos Display"/>
        <family val="2"/>
      </rPr>
      <t>，FW Config Backup Start Addr=
align-next-4K(DLM_START_ADDR + DLM_DIFF_SIZE_CODE * IC_NUM)
e.g.,
3 IC =&gt; end flag @ 0x30FFC
4 IC =&gt; end flag @0x31FFC</t>
    </r>
  </si>
  <si>
    <t>FW Header Related</t>
  </si>
  <si>
    <t>FW Config &amp; Reg Related</t>
  </si>
  <si>
    <t>顏色對照</t>
  </si>
  <si>
    <t>DP Related</t>
  </si>
  <si>
    <t>TP Address Tables</t>
  </si>
  <si>
    <t>Document Date</t>
  </si>
  <si>
    <t>Source Sheet</t>
  </si>
  <si>
    <t>TP Overview</t>
  </si>
  <si>
    <t>Boundary</t>
  </si>
  <si>
    <t>51927 &amp; 51928
(Not NB)</t>
  </si>
  <si>
    <t>51929 &amp; 51932</t>
  </si>
  <si>
    <t>51950
(No Backup EN)</t>
  </si>
  <si>
    <t>51951
(No Backup EN)</t>
  </si>
  <si>
    <t>FW N/A</t>
  </si>
  <si>
    <t>FW 2.0.0</t>
  </si>
  <si>
    <t>FW 1.X.X</t>
  </si>
  <si>
    <t>C33:F66</t>
  </si>
  <si>
    <t>C68:F105</t>
  </si>
  <si>
    <t>C107:F144</t>
  </si>
  <si>
    <t>C146:F209</t>
  </si>
  <si>
    <t>C211:F240</t>
  </si>
  <si>
    <t>C304:F341</t>
  </si>
  <si>
    <t>C343:F380</t>
  </si>
  <si>
    <t>Start</t>
  </si>
  <si>
    <t>End</t>
  </si>
  <si>
    <t>FW Config</t>
  </si>
  <si>
    <t>0x22000</t>
  </si>
  <si>
    <t>0x16000</t>
  </si>
  <si>
    <t>0x1F200</t>
  </si>
  <si>
    <t>0x22200</t>
  </si>
  <si>
    <t>0x2277F</t>
  </si>
  <si>
    <t>0x226FF</t>
  </si>
  <si>
    <t>0x166FF</t>
  </si>
  <si>
    <t>0x1F97F</t>
  </si>
  <si>
    <t>0x2297F</t>
  </si>
  <si>
    <t>NF CtrlRAM</t>
  </si>
  <si>
    <t>0x2A000</t>
  </si>
  <si>
    <t>0x2C800</t>
  </si>
  <si>
    <t>0x1FC00</t>
  </si>
  <si>
    <t>0x22C00</t>
  </si>
  <si>
    <t>0x2E4AF</t>
  </si>
  <si>
    <t>0x2F5CF</t>
  </si>
  <si>
    <t>0x21B8F</t>
  </si>
  <si>
    <t>0x2560F</t>
  </si>
  <si>
    <t>VN CtrlRAM</t>
  </si>
  <si>
    <t>0x2E800</t>
  </si>
  <si>
    <t>0x315D0</t>
  </si>
  <si>
    <t>0x26590</t>
  </si>
  <si>
    <t>0x2B210</t>
  </si>
  <si>
    <t>0x2FE5F</t>
  </si>
  <si>
    <t>0x32A6D</t>
  </si>
  <si>
    <t>0x32C2F</t>
  </si>
  <si>
    <t>0x27EEF</t>
  </si>
  <si>
    <t>0x2D30B</t>
  </si>
  <si>
    <t>0x34FFC</t>
  </si>
  <si>
    <t>0x3FFFC</t>
  </si>
  <si>
    <t>0x36FFC</t>
  </si>
  <si>
    <t>0x34FFF</t>
  </si>
  <si>
    <t>0x3FFFF</t>
  </si>
  <si>
    <t>0x36FFF</t>
  </si>
  <si>
    <t>0x05FFF</t>
  </si>
  <si>
    <t>Normal CtrlRAM</t>
  </si>
  <si>
    <t>0x22800</t>
  </si>
  <si>
    <t>0x21B90</t>
  </si>
  <si>
    <t>0x25610</t>
  </si>
  <si>
    <t>0x25FFF</t>
  </si>
  <si>
    <t>0x253FF</t>
  </si>
  <si>
    <t>0x2658F</t>
  </si>
  <si>
    <t>0x2B20F</t>
  </si>
  <si>
    <t>MP CtrlRAM</t>
  </si>
  <si>
    <t>0x26000</t>
  </si>
  <si>
    <t>0x25400</t>
  </si>
  <si>
    <t>0x287FF</t>
  </si>
  <si>
    <t>0x277FF</t>
  </si>
  <si>
    <t>DIFF CtrlRAM</t>
  </si>
  <si>
    <t>0x28800</t>
  </si>
  <si>
    <t>0x27800</t>
  </si>
  <si>
    <t>0x2D100</t>
  </si>
  <si>
    <t>0x33200</t>
  </si>
  <si>
    <t>0x29FFF</t>
  </si>
  <si>
    <t>0x35CFF</t>
  </si>
  <si>
    <t>0x345FF</t>
  </si>
  <si>
    <t>0x3B000</t>
  </si>
  <si>
    <t>0x06000</t>
  </si>
  <si>
    <t>0x37000</t>
  </si>
  <si>
    <t>0x3DFFF</t>
  </si>
  <si>
    <t>0x06FFF</t>
  </si>
  <si>
    <t>0x37FFF</t>
  </si>
  <si>
    <t>0x09FFF</t>
  </si>
  <si>
    <t>0x41000</t>
  </si>
  <si>
    <t>0x5CFFF</t>
  </si>
  <si>
    <t>2026-07-30</t>
  </si>
  <si>
    <t>Scope</t>
  </si>
  <si>
    <t>Excludes 51920 / 51930 / 51931</t>
  </si>
  <si>
    <t>FW Code</t>
  </si>
  <si>
    <t>ILM: 0x00200
Overlay ILM: 0x20000</t>
  </si>
  <si>
    <t>ILM: 0x1FFFF
Overlay ILM: 0x21FFF</t>
  </si>
  <si>
    <t>ILM: 0x00460</t>
  </si>
  <si>
    <t>ILM: 0x157FF</t>
  </si>
  <si>
    <t>ILM + Overlay: 0x07200</t>
  </si>
  <si>
    <t>ILM + Overlay: 0x1F1FF</t>
  </si>
  <si>
    <t>ILM + Overlay: 0x0A200</t>
  </si>
  <si>
    <t>ILM + Overlay: 0x221FF</t>
  </si>
  <si>
    <t>FW Register</t>
  </si>
  <si>
    <t>TP + DP: 0x22700</t>
  </si>
  <si>
    <t>TP + DP: 0x227FF</t>
  </si>
  <si>
    <t>TP + DP: 0x22780</t>
  </si>
  <si>
    <t>TP: 0x16700
DP: 0x16740</t>
  </si>
  <si>
    <t>TP: 0x1673F
DP: 0x167FF</t>
  </si>
  <si>
    <t>TP + DP: 0x1F980</t>
  </si>
  <si>
    <t>TP + DP: 0x1F9FF</t>
  </si>
  <si>
    <t>TP + DP: 0x22980</t>
  </si>
  <si>
    <t>TP + DP: 0x229FF</t>
  </si>
  <si>
    <t>Master: 0x177D0
Slave R: 0x207D0
Slave L: 0x297D0</t>
  </si>
  <si>
    <t>Master: 0x1A7CF
Slave R: 0x237CF
Slave L: 0x2C7CF</t>
  </si>
  <si>
    <t>Master: 0x1A7D0
Slave R: 0x237D0
Slave L: 0x2C7D0</t>
  </si>
  <si>
    <t>Master: 0x1CBCF
Slave R: 0x25BCF
Slave L: 0x2EBCF</t>
  </si>
  <si>
    <t>Master: 0x16800
Slave R: 0x1F800
Slave L: 0x28800</t>
  </si>
  <si>
    <t>Master: 0x177CF
Slave R: 0x207CF
Slave L: 0x297CF</t>
  </si>
  <si>
    <t>Master: 0x1CBD0
Slave R: 0x25BD0
Slave L: 0x2EBD0</t>
  </si>
  <si>
    <t>Master: 0x1E22F
Slave R: 0x2722F
Slave L: 0x3022F</t>
  </si>
  <si>
    <t>End Flag</t>
  </si>
  <si>
    <t>Initial Code</t>
  </si>
  <si>
    <t>LDC</t>
  </si>
  <si>
    <t>51928 only: 0x40000</t>
  </si>
  <si>
    <t>51928 only: 0x61FFF</t>
  </si>
  <si>
    <t>51923</t>
  </si>
  <si>
    <t>51926</t>
  </si>
  <si>
    <t>Customer-specific
(Production Test Info)</t>
  </si>
  <si>
    <t>0xB0000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</si>
</sst>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70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Aptos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Cambria"/>
      <family val="1"/>
    </font>
    <font>
      <sz val="9"/>
      <name val="微軟正黑體"/>
      <family val="2"/>
      <charset val="136"/>
    </font>
    <font>
      <sz val="12"/>
      <color theme="1"/>
      <name val="Cambria"/>
      <family val="1"/>
    </font>
    <font>
      <sz val="9"/>
      <name val="新細明體"/>
      <family val="1"/>
      <charset val="136"/>
    </font>
    <font>
      <sz val="12"/>
      <name val="Microsoft JhengHei"/>
      <family val="1"/>
      <charset val="136"/>
    </font>
    <font>
      <sz val="12"/>
      <color theme="1"/>
      <name val="Microsoft JhengHei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細明體"/>
      <family val="2"/>
      <charset val="136"/>
    </font>
    <font>
      <sz val="12"/>
      <color rgb="FFFF0000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Century Gothic"/>
      <family val="2"/>
    </font>
    <font>
      <sz val="12"/>
      <color theme="1"/>
      <name val="Century Gothic"/>
      <family val="2"/>
    </font>
    <font>
      <sz val="12"/>
      <color theme="1"/>
      <name val="細明體"/>
      <family val="3"/>
      <charset val="136"/>
    </font>
    <font>
      <sz val="9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sz val="12"/>
      <color theme="1"/>
      <name val="Aptos"/>
      <family val="2"/>
    </font>
    <font>
      <b/>
      <sz val="10"/>
      <name val="Century Gothic"/>
      <family val="2"/>
    </font>
    <font>
      <strike/>
      <sz val="11"/>
      <color theme="1"/>
      <name val="Aptos"/>
      <family val="2"/>
    </font>
    <font>
      <strike/>
      <sz val="12"/>
      <color theme="1"/>
      <name val="Calibri"/>
      <family val="2"/>
      <charset val="136"/>
      <scheme val="minor"/>
    </font>
    <font>
      <strike/>
      <sz val="12"/>
      <color rgb="FFFF0000"/>
      <name val="Aptos"/>
      <family val="2"/>
    </font>
    <font>
      <strike/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Century Gothic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Century Gothic"/>
      <family val="2"/>
    </font>
    <font>
      <sz val="12"/>
      <color theme="0" tint="-0.34998626667073579"/>
      <name val="Century Gothic"/>
      <family val="2"/>
    </font>
    <font>
      <sz val="12"/>
      <color theme="0" tint="-0.34998626667073579"/>
      <name val="新細明體"/>
      <family val="1"/>
      <charset val="136"/>
    </font>
    <font>
      <sz val="12"/>
      <color rgb="FFFF0000"/>
      <name val="Calibri"/>
      <family val="2"/>
      <scheme val="minor"/>
    </font>
    <font>
      <sz val="12"/>
      <color rgb="FFFF0000"/>
      <name val="Calibri"/>
      <family val="1"/>
      <charset val="136"/>
      <scheme val="minor"/>
    </font>
    <font>
      <sz val="12"/>
      <color rgb="FF92D05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新細明體"/>
      <family val="1"/>
      <charset val="136"/>
    </font>
    <font>
      <b/>
      <sz val="11"/>
      <color theme="8"/>
      <name val="Aptos Display"/>
      <family val="2"/>
    </font>
    <font>
      <b/>
      <sz val="10"/>
      <color theme="1"/>
      <name val="Century Gothic"/>
      <family val="2"/>
    </font>
    <font>
      <sz val="11"/>
      <color theme="1"/>
      <name val="微軟正黑體"/>
      <family val="2"/>
      <charset val="136"/>
    </font>
    <font>
      <sz val="11"/>
      <color theme="1"/>
      <name val="Aptos Display"/>
      <family val="2"/>
      <charset val="136"/>
    </font>
    <font>
      <b/>
      <sz val="11"/>
      <color rgb="FFFF0000"/>
      <name val="Aptos Display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 Display"/>
      <family val="2"/>
    </font>
    <font>
      <b/>
      <sz val="11"/>
      <color theme="9"/>
      <name val="Aptos Display"/>
      <family val="2"/>
    </font>
    <font>
      <sz val="10"/>
      <color rgb="FF17202A"/>
      <name val="Aptos"/>
      <family val="2"/>
    </font>
    <font>
      <b/>
      <sz val="16"/>
      <color rgb="FF17202A"/>
      <name val="Aptos Display"/>
      <family val="2"/>
    </font>
    <font>
      <sz val="9"/>
      <color rgb="FF5B6470"/>
      <name val="Aptos"/>
      <family val="2"/>
    </font>
    <font>
      <b/>
      <sz val="10"/>
      <color rgb="FF17202A"/>
      <name val="Aptos"/>
      <family val="2"/>
    </font>
    <font>
      <b/>
      <sz val="10"/>
      <color rgb="FF4D7D29"/>
      <name val="Aptos"/>
      <family val="2"/>
    </font>
    <font>
      <i/>
      <sz val="10"/>
      <color rgb="FF325B7C"/>
      <name val="Aptos"/>
      <family val="2"/>
    </font>
    <font>
      <b/>
      <sz val="10"/>
      <color rgb="FF2F65B0"/>
      <name val="Aptos"/>
      <family val="2"/>
    </font>
    <font>
      <b/>
      <sz val="10"/>
      <color rgb="FF5C8A2D"/>
      <name val="Aptos"/>
      <family val="2"/>
    </font>
    <font>
      <sz val="12"/>
      <color rgb="FF000000"/>
      <name val="新細明體"/>
      <family val="2"/>
      <charset val="136"/>
    </font>
    <font>
      <sz val="10"/>
      <color rgb="FF000000"/>
      <name val="Times New Roman"/>
      <family val="1"/>
    </font>
    <font>
      <sz val="12"/>
      <color rgb="FF000000"/>
      <name val="Cambria"/>
      <family val="1"/>
    </font>
    <font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A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8A6"/>
        <bgColor indexed="64"/>
      </patternFill>
    </fill>
    <fill>
      <patternFill patternType="solid">
        <fgColor rgb="FFE9F2E3"/>
        <bgColor indexed="64"/>
      </patternFill>
    </fill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33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3D8D1"/>
      </left>
      <right style="thin">
        <color rgb="FFD3D8D1"/>
      </right>
      <top style="thin">
        <color rgb="FFD3D8D1"/>
      </top>
      <bottom style="thin">
        <color rgb="FFD3D8D1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53" fillId="0" borderId="0" applyNumberFormat="0" applyFill="0" applyBorder="0" applyAlignment="0" applyProtection="0"/>
    <xf numFmtId="0" fontId="1" fillId="0" borderId="0"/>
    <xf numFmtId="0" fontId="64" fillId="34" borderId="32">
      <alignment vertical="center"/>
    </xf>
  </cellStyleXfs>
  <cellXfs count="415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9" fillId="12" borderId="5" xfId="0" applyNumberFormat="1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9" fillId="9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7" fillId="15" borderId="5" xfId="0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horizontal="center"/>
    </xf>
    <xf numFmtId="0" fontId="9" fillId="9" borderId="5" xfId="0" quotePrefix="1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7" fillId="17" borderId="5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19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0" fontId="13" fillId="0" borderId="12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9" fillId="20" borderId="5" xfId="0" applyFont="1" applyFill="1" applyBorder="1" applyAlignment="1">
      <alignment vertical="center"/>
    </xf>
    <xf numFmtId="0" fontId="19" fillId="20" borderId="5" xfId="0" applyFont="1" applyFill="1" applyBorder="1" applyAlignment="1">
      <alignment horizontal="center" vertical="center"/>
    </xf>
    <xf numFmtId="0" fontId="19" fillId="21" borderId="5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3" fillId="0" borderId="12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3" fillId="0" borderId="5" xfId="0" applyFont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19" fillId="2" borderId="5" xfId="0" applyFont="1" applyFill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19" fillId="20" borderId="1" xfId="0" applyFont="1" applyFill="1" applyBorder="1" applyAlignment="1">
      <alignment vertical="center"/>
    </xf>
    <xf numFmtId="0" fontId="22" fillId="20" borderId="2" xfId="0" applyFont="1" applyFill="1" applyBorder="1" applyAlignment="1">
      <alignment vertical="center"/>
    </xf>
    <xf numFmtId="0" fontId="19" fillId="20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13" fillId="0" borderId="0" xfId="0" applyFont="1" applyAlignment="1">
      <alignment horizontal="left" vertical="center"/>
    </xf>
    <xf numFmtId="0" fontId="23" fillId="23" borderId="15" xfId="0" applyFont="1" applyFill="1" applyBorder="1" applyAlignment="1">
      <alignment horizontal="center" vertical="center"/>
    </xf>
    <xf numFmtId="0" fontId="24" fillId="23" borderId="16" xfId="0" applyFont="1" applyFill="1" applyBorder="1" applyAlignment="1">
      <alignment horizontal="center" vertical="center"/>
    </xf>
    <xf numFmtId="0" fontId="24" fillId="23" borderId="17" xfId="0" applyFont="1" applyFill="1" applyBorder="1" applyAlignment="1">
      <alignment horizontal="center"/>
    </xf>
    <xf numFmtId="0" fontId="25" fillId="23" borderId="18" xfId="0" applyFont="1" applyFill="1" applyBorder="1" applyAlignment="1">
      <alignment horizontal="center" vertical="center"/>
    </xf>
    <xf numFmtId="0" fontId="26" fillId="23" borderId="8" xfId="0" applyFont="1" applyFill="1" applyBorder="1" applyAlignment="1">
      <alignment horizontal="left"/>
    </xf>
    <xf numFmtId="0" fontId="26" fillId="23" borderId="19" xfId="0" applyFont="1" applyFill="1" applyBorder="1" applyAlignment="1">
      <alignment horizontal="center"/>
    </xf>
    <xf numFmtId="0" fontId="26" fillId="23" borderId="5" xfId="0" applyFont="1" applyFill="1" applyBorder="1" applyAlignment="1">
      <alignment horizontal="left"/>
    </xf>
    <xf numFmtId="0" fontId="26" fillId="23" borderId="2" xfId="0" applyFont="1" applyFill="1" applyBorder="1" applyAlignment="1">
      <alignment horizontal="left"/>
    </xf>
    <xf numFmtId="0" fontId="26" fillId="23" borderId="2" xfId="0" applyFont="1" applyFill="1" applyBorder="1"/>
    <xf numFmtId="0" fontId="6" fillId="0" borderId="5" xfId="0" applyFont="1" applyBorder="1" applyAlignment="1">
      <alignment horizontal="center" vertical="center"/>
    </xf>
    <xf numFmtId="0" fontId="27" fillId="18" borderId="5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left"/>
    </xf>
    <xf numFmtId="0" fontId="28" fillId="0" borderId="9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5" fillId="23" borderId="20" xfId="0" applyFont="1" applyFill="1" applyBorder="1" applyAlignment="1">
      <alignment horizontal="center" vertical="center"/>
    </xf>
    <xf numFmtId="0" fontId="26" fillId="23" borderId="21" xfId="0" applyFont="1" applyFill="1" applyBorder="1" applyAlignment="1">
      <alignment horizontal="center" vertical="center"/>
    </xf>
    <xf numFmtId="0" fontId="29" fillId="0" borderId="0" xfId="0" applyFont="1"/>
    <xf numFmtId="0" fontId="30" fillId="23" borderId="20" xfId="0" applyFont="1" applyFill="1" applyBorder="1" applyAlignment="1">
      <alignment horizontal="center" vertical="center"/>
    </xf>
    <xf numFmtId="0" fontId="31" fillId="23" borderId="5" xfId="0" applyFont="1" applyFill="1" applyBorder="1" applyAlignment="1">
      <alignment horizontal="left"/>
    </xf>
    <xf numFmtId="0" fontId="31" fillId="23" borderId="21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5" fillId="2" borderId="20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left"/>
    </xf>
    <xf numFmtId="0" fontId="26" fillId="2" borderId="21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left"/>
    </xf>
    <xf numFmtId="0" fontId="26" fillId="4" borderId="2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6" fillId="23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2" fillId="0" borderId="5" xfId="0" applyFont="1" applyBorder="1"/>
    <xf numFmtId="0" fontId="13" fillId="19" borderId="12" xfId="0" applyFont="1" applyFill="1" applyBorder="1" applyAlignment="1">
      <alignment vertical="center" wrapText="1"/>
    </xf>
    <xf numFmtId="0" fontId="13" fillId="19" borderId="1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32" fillId="0" borderId="7" xfId="0" applyFont="1" applyBorder="1" applyAlignment="1">
      <alignment wrapText="1"/>
    </xf>
    <xf numFmtId="0" fontId="33" fillId="2" borderId="5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32" fillId="0" borderId="9" xfId="0" applyFont="1" applyBorder="1"/>
    <xf numFmtId="0" fontId="32" fillId="0" borderId="7" xfId="0" applyFont="1" applyBorder="1"/>
    <xf numFmtId="0" fontId="32" fillId="0" borderId="6" xfId="0" applyFont="1" applyBorder="1" applyAlignment="1">
      <alignment wrapText="1"/>
    </xf>
    <xf numFmtId="0" fontId="32" fillId="0" borderId="6" xfId="0" applyFont="1" applyBorder="1"/>
    <xf numFmtId="0" fontId="19" fillId="0" borderId="5" xfId="0" applyFont="1" applyBorder="1" applyAlignment="1">
      <alignment horizontal="left" vertical="center"/>
    </xf>
    <xf numFmtId="0" fontId="19" fillId="24" borderId="5" xfId="0" applyFont="1" applyFill="1" applyBorder="1" applyAlignment="1">
      <alignment horizontal="left" vertical="center"/>
    </xf>
    <xf numFmtId="0" fontId="19" fillId="24" borderId="5" xfId="0" applyFont="1" applyFill="1" applyBorder="1" applyAlignment="1">
      <alignment vertical="center"/>
    </xf>
    <xf numFmtId="0" fontId="19" fillId="24" borderId="5" xfId="0" applyFont="1" applyFill="1" applyBorder="1" applyAlignment="1">
      <alignment horizontal="center" vertical="center"/>
    </xf>
    <xf numFmtId="0" fontId="13" fillId="24" borderId="5" xfId="0" applyFont="1" applyFill="1" applyBorder="1" applyAlignment="1">
      <alignment vertical="center"/>
    </xf>
    <xf numFmtId="0" fontId="22" fillId="24" borderId="5" xfId="0" applyFont="1" applyFill="1" applyBorder="1" applyAlignment="1">
      <alignment vertical="center"/>
    </xf>
    <xf numFmtId="0" fontId="32" fillId="0" borderId="12" xfId="0" applyFont="1" applyBorder="1" applyAlignment="1">
      <alignment horizont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2" fillId="0" borderId="8" xfId="0" applyFont="1" applyBorder="1"/>
    <xf numFmtId="0" fontId="32" fillId="0" borderId="8" xfId="0" applyFont="1" applyBorder="1" applyAlignment="1">
      <alignment wrapText="1"/>
    </xf>
    <xf numFmtId="0" fontId="14" fillId="19" borderId="12" xfId="0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6" fillId="24" borderId="5" xfId="0" applyFont="1" applyFill="1" applyBorder="1" applyAlignment="1">
      <alignment horizontal="left" vertical="center"/>
    </xf>
    <xf numFmtId="0" fontId="37" fillId="24" borderId="5" xfId="0" applyFont="1" applyFill="1" applyBorder="1" applyAlignment="1">
      <alignment vertical="center"/>
    </xf>
    <xf numFmtId="0" fontId="36" fillId="24" borderId="5" xfId="0" applyFont="1" applyFill="1" applyBorder="1" applyAlignment="1">
      <alignment horizontal="center" vertical="center"/>
    </xf>
    <xf numFmtId="0" fontId="36" fillId="24" borderId="5" xfId="0" applyFont="1" applyFill="1" applyBorder="1" applyAlignment="1">
      <alignment vertical="center"/>
    </xf>
    <xf numFmtId="0" fontId="38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0" fontId="1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9" fillId="0" borderId="5" xfId="0" applyFont="1" applyBorder="1" applyAlignment="1">
      <alignment horizontal="center" vertical="center"/>
    </xf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19" borderId="12" xfId="0" applyFont="1" applyFill="1" applyBorder="1" applyAlignment="1">
      <alignment horizontal="center"/>
    </xf>
    <xf numFmtId="0" fontId="19" fillId="0" borderId="7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2" borderId="12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25" borderId="0" xfId="0" applyFont="1" applyFill="1" applyAlignment="1">
      <alignment horizontal="center"/>
    </xf>
    <xf numFmtId="0" fontId="18" fillId="0" borderId="9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6" borderId="12" xfId="0" applyFont="1" applyFill="1" applyBorder="1" applyAlignment="1">
      <alignment horizontal="center"/>
    </xf>
    <xf numFmtId="0" fontId="19" fillId="0" borderId="24" xfId="0" applyFont="1" applyBorder="1"/>
    <xf numFmtId="0" fontId="19" fillId="0" borderId="24" xfId="0" applyFont="1" applyBorder="1" applyAlignment="1">
      <alignment horizontal="center"/>
    </xf>
    <xf numFmtId="0" fontId="41" fillId="0" borderId="0" xfId="0" applyFont="1" applyAlignment="1">
      <alignment horizontal="left" vertical="center" indent="2"/>
    </xf>
    <xf numFmtId="0" fontId="19" fillId="20" borderId="25" xfId="0" applyFont="1" applyFill="1" applyBorder="1" applyAlignment="1">
      <alignment vertical="center"/>
    </xf>
    <xf numFmtId="0" fontId="19" fillId="20" borderId="26" xfId="0" applyFont="1" applyFill="1" applyBorder="1" applyAlignment="1">
      <alignment vertical="center"/>
    </xf>
    <xf numFmtId="0" fontId="19" fillId="20" borderId="27" xfId="0" applyFont="1" applyFill="1" applyBorder="1" applyAlignment="1">
      <alignment horizontal="center" vertical="center"/>
    </xf>
    <xf numFmtId="0" fontId="19" fillId="21" borderId="27" xfId="0" applyFont="1" applyFill="1" applyBorder="1" applyAlignment="1">
      <alignment vertical="center"/>
    </xf>
    <xf numFmtId="0" fontId="19" fillId="21" borderId="26" xfId="0" applyFont="1" applyFill="1" applyBorder="1" applyAlignment="1">
      <alignment vertical="center"/>
    </xf>
    <xf numFmtId="0" fontId="19" fillId="0" borderId="5" xfId="0" applyFont="1" applyBorder="1"/>
    <xf numFmtId="0" fontId="19" fillId="0" borderId="5" xfId="0" applyFont="1" applyBorder="1" applyAlignment="1">
      <alignment horizontal="left"/>
    </xf>
    <xf numFmtId="0" fontId="13" fillId="0" borderId="25" xfId="0" applyFont="1" applyBorder="1" applyAlignment="1">
      <alignment horizontal="left" vertical="center"/>
    </xf>
    <xf numFmtId="0" fontId="19" fillId="0" borderId="25" xfId="0" applyFont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19" fillId="26" borderId="2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2" fillId="0" borderId="29" xfId="0" applyFont="1" applyBorder="1" applyAlignment="1">
      <alignment horizontal="left" vertical="center"/>
    </xf>
    <xf numFmtId="0" fontId="19" fillId="19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/>
    </xf>
    <xf numFmtId="0" fontId="19" fillId="25" borderId="5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43" fillId="0" borderId="25" xfId="0" applyFont="1" applyBorder="1" applyAlignment="1">
      <alignment horizontal="left" vertical="center"/>
    </xf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44" fillId="0" borderId="29" xfId="0" applyFont="1" applyBorder="1" applyAlignment="1">
      <alignment horizontal="left" vertical="center"/>
    </xf>
    <xf numFmtId="0" fontId="44" fillId="0" borderId="28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4" fillId="0" borderId="29" xfId="0" applyFont="1" applyBorder="1" applyAlignment="1">
      <alignment vertical="center" wrapText="1"/>
    </xf>
    <xf numFmtId="0" fontId="45" fillId="0" borderId="28" xfId="0" applyFont="1" applyBorder="1" applyAlignment="1">
      <alignment vertical="center"/>
    </xf>
    <xf numFmtId="0" fontId="45" fillId="0" borderId="28" xfId="0" applyFont="1" applyBorder="1" applyAlignment="1">
      <alignment horizontal="center" vertical="center"/>
    </xf>
    <xf numFmtId="0" fontId="46" fillId="0" borderId="28" xfId="0" applyFont="1" applyBorder="1" applyAlignment="1">
      <alignment vertical="center"/>
    </xf>
    <xf numFmtId="0" fontId="47" fillId="27" borderId="28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14" borderId="5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8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2" fillId="0" borderId="0" xfId="0" applyFont="1"/>
    <xf numFmtId="0" fontId="55" fillId="0" borderId="0" xfId="0" applyFont="1"/>
    <xf numFmtId="0" fontId="48" fillId="0" borderId="0" xfId="0" applyFont="1"/>
    <xf numFmtId="49" fontId="56" fillId="0" borderId="0" xfId="0" applyNumberFormat="1" applyFont="1" applyAlignment="1">
      <alignment vertical="center" wrapText="1"/>
    </xf>
    <xf numFmtId="49" fontId="58" fillId="0" borderId="0" xfId="0" applyNumberFormat="1" applyFont="1" applyAlignment="1">
      <alignment vertical="center" wrapText="1"/>
    </xf>
    <xf numFmtId="49" fontId="59" fillId="33" borderId="0" xfId="0" applyNumberFormat="1" applyFont="1" applyFill="1" applyAlignment="1">
      <alignment horizontal="center" vertical="center" wrapText="1"/>
    </xf>
    <xf numFmtId="49" fontId="59" fillId="32" borderId="0" xfId="0" applyNumberFormat="1" applyFont="1" applyFill="1" applyAlignment="1">
      <alignment horizontal="center" vertical="center" wrapText="1"/>
    </xf>
    <xf numFmtId="49" fontId="60" fillId="33" borderId="0" xfId="0" applyNumberFormat="1" applyFont="1" applyFill="1" applyAlignment="1">
      <alignment horizontal="center" vertical="center" wrapText="1"/>
    </xf>
    <xf numFmtId="49" fontId="61" fillId="29" borderId="0" xfId="0" applyNumberFormat="1" applyFont="1" applyFill="1" applyAlignment="1">
      <alignment horizontal="center" vertical="center" wrapText="1"/>
    </xf>
    <xf numFmtId="49" fontId="56" fillId="30" borderId="31" xfId="0" applyNumberFormat="1" applyFont="1" applyFill="1" applyBorder="1" applyAlignment="1">
      <alignment horizontal="center" vertical="center" wrapText="1"/>
    </xf>
    <xf numFmtId="49" fontId="56" fillId="31" borderId="31" xfId="0" applyNumberFormat="1" applyFont="1" applyFill="1" applyBorder="1" applyAlignment="1">
      <alignment horizontal="center" vertical="center" wrapText="1"/>
    </xf>
    <xf numFmtId="0" fontId="49" fillId="18" borderId="5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14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4" fillId="0" borderId="9" xfId="1" applyFont="1" applyBorder="1" applyAlignment="1">
      <alignment horizontal="center"/>
    </xf>
    <xf numFmtId="0" fontId="54" fillId="0" borderId="10" xfId="1" applyFont="1" applyBorder="1" applyAlignment="1">
      <alignment horizontal="center"/>
    </xf>
    <xf numFmtId="0" fontId="54" fillId="0" borderId="11" xfId="1" applyFont="1" applyBorder="1" applyAlignment="1">
      <alignment horizontal="center"/>
    </xf>
    <xf numFmtId="0" fontId="55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52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8" borderId="5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50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7" xfId="0" applyFont="1" applyBorder="1"/>
    <xf numFmtId="0" fontId="19" fillId="0" borderId="8" xfId="0" applyFont="1" applyBorder="1"/>
    <xf numFmtId="0" fontId="13" fillId="19" borderId="12" xfId="0" applyFont="1" applyFill="1" applyBorder="1" applyAlignment="1">
      <alignment horizontal="center" vertical="center" wrapText="1"/>
    </xf>
    <xf numFmtId="0" fontId="13" fillId="19" borderId="12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19" borderId="7" xfId="0" applyFont="1" applyFill="1" applyBorder="1" applyAlignment="1">
      <alignment horizontal="center" vertical="center"/>
    </xf>
    <xf numFmtId="0" fontId="19" fillId="19" borderId="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vertical="center"/>
    </xf>
    <xf numFmtId="0" fontId="13" fillId="19" borderId="5" xfId="0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9" fillId="22" borderId="5" xfId="0" applyFont="1" applyFill="1" applyBorder="1" applyAlignment="1">
      <alignment vertical="center"/>
    </xf>
    <xf numFmtId="0" fontId="19" fillId="22" borderId="7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left" wrapText="1"/>
    </xf>
    <xf numFmtId="0" fontId="32" fillId="0" borderId="22" xfId="0" applyFont="1" applyBorder="1" applyAlignment="1">
      <alignment horizontal="left" wrapText="1"/>
    </xf>
    <xf numFmtId="0" fontId="32" fillId="0" borderId="14" xfId="0" applyFont="1" applyBorder="1" applyAlignment="1">
      <alignment horizontal="left" wrapText="1"/>
    </xf>
    <xf numFmtId="0" fontId="32" fillId="0" borderId="23" xfId="0" applyFont="1" applyBorder="1" applyAlignment="1">
      <alignment horizontal="left" wrapText="1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3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5" xfId="0" applyFont="1" applyBorder="1"/>
    <xf numFmtId="0" fontId="32" fillId="0" borderId="9" xfId="0" applyFont="1" applyBorder="1"/>
    <xf numFmtId="0" fontId="32" fillId="0" borderId="10" xfId="0" applyFont="1" applyBorder="1"/>
    <xf numFmtId="0" fontId="13" fillId="0" borderId="6" xfId="0" applyFont="1" applyBorder="1" applyAlignment="1">
      <alignment horizontal="center" vertical="center"/>
    </xf>
    <xf numFmtId="0" fontId="32" fillId="0" borderId="9" xfId="0" applyFont="1" applyBorder="1" applyAlignment="1">
      <alignment horizontal="left" wrapText="1"/>
    </xf>
    <xf numFmtId="0" fontId="32" fillId="0" borderId="11" xfId="0" applyFont="1" applyBorder="1" applyAlignment="1">
      <alignment horizontal="left" wrapText="1"/>
    </xf>
    <xf numFmtId="0" fontId="32" fillId="19" borderId="12" xfId="0" applyFont="1" applyFill="1" applyBorder="1" applyAlignment="1">
      <alignment horizontal="center"/>
    </xf>
    <xf numFmtId="0" fontId="32" fillId="0" borderId="13" xfId="0" applyFont="1" applyBorder="1" applyAlignment="1">
      <alignment horizontal="center" wrapText="1"/>
    </xf>
    <xf numFmtId="0" fontId="32" fillId="0" borderId="22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2" fillId="0" borderId="12" xfId="0" applyFont="1" applyBorder="1" applyAlignment="1">
      <alignment horizontal="center" wrapText="1"/>
    </xf>
    <xf numFmtId="0" fontId="32" fillId="0" borderId="14" xfId="0" applyFont="1" applyBorder="1" applyAlignment="1">
      <alignment horizontal="center" wrapText="1"/>
    </xf>
    <xf numFmtId="0" fontId="32" fillId="0" borderId="23" xfId="0" applyFont="1" applyBorder="1" applyAlignment="1">
      <alignment horizontal="center" wrapText="1"/>
    </xf>
    <xf numFmtId="0" fontId="32" fillId="0" borderId="5" xfId="0" applyFont="1" applyBorder="1" applyAlignment="1">
      <alignment horizontal="center" wrapText="1"/>
    </xf>
    <xf numFmtId="0" fontId="32" fillId="0" borderId="5" xfId="0" applyFont="1" applyBorder="1" applyAlignment="1">
      <alignment horizontal="center"/>
    </xf>
    <xf numFmtId="0" fontId="32" fillId="2" borderId="12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9" fillId="11" borderId="5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49" fontId="56" fillId="30" borderId="31" xfId="0" applyNumberFormat="1" applyFont="1" applyFill="1" applyBorder="1" applyAlignment="1">
      <alignment horizontal="center" vertical="center" wrapText="1"/>
    </xf>
    <xf numFmtId="49" fontId="62" fillId="31" borderId="31" xfId="0" applyNumberFormat="1" applyFont="1" applyFill="1" applyBorder="1" applyAlignment="1">
      <alignment horizontal="center" vertical="center" wrapText="1"/>
    </xf>
    <xf numFmtId="49" fontId="62" fillId="30" borderId="31" xfId="0" applyNumberFormat="1" applyFont="1" applyFill="1" applyBorder="1" applyAlignment="1">
      <alignment horizontal="center" vertical="center" wrapText="1"/>
    </xf>
    <xf numFmtId="49" fontId="56" fillId="31" borderId="31" xfId="0" applyNumberFormat="1" applyFont="1" applyFill="1" applyBorder="1" applyAlignment="1">
      <alignment horizontal="center" vertical="center" wrapText="1"/>
    </xf>
    <xf numFmtId="49" fontId="57" fillId="32" borderId="0" xfId="0" applyNumberFormat="1" applyFont="1" applyFill="1" applyAlignment="1">
      <alignment horizontal="center" vertical="center" wrapText="1"/>
    </xf>
    <xf numFmtId="49" fontId="63" fillId="30" borderId="31" xfId="0" applyNumberFormat="1" applyFont="1" applyFill="1" applyBorder="1" applyAlignment="1">
      <alignment horizontal="center" vertical="center" wrapText="1"/>
    </xf>
    <xf numFmtId="0" fontId="64" fillId="34" borderId="32" xfId="3">
      <alignment vertical="center"/>
    </xf>
    <xf numFmtId="0" fontId="65" fillId="34" borderId="32" xfId="3" applyFont="1">
      <alignment vertical="center"/>
    </xf>
    <xf numFmtId="0" fontId="66" fillId="36" borderId="32" xfId="3" applyFont="1" applyFill="1" applyAlignment="1">
      <alignment horizontal="center" vertical="center"/>
    </xf>
    <xf numFmtId="0" fontId="66" fillId="37" borderId="32" xfId="3" applyFont="1" applyFill="1" applyAlignment="1">
      <alignment horizontal="center" vertical="center"/>
    </xf>
    <xf numFmtId="0" fontId="66" fillId="39" borderId="39" xfId="3" applyFont="1" applyFill="1" applyBorder="1" applyAlignment="1">
      <alignment horizontal="center" vertical="center"/>
    </xf>
    <xf numFmtId="0" fontId="66" fillId="41" borderId="38" xfId="3" applyFont="1" applyFill="1" applyBorder="1" applyAlignment="1">
      <alignment horizontal="center" vertical="center"/>
    </xf>
    <xf numFmtId="0" fontId="66" fillId="42" borderId="39" xfId="3" applyFont="1" applyFill="1" applyBorder="1" applyAlignment="1">
      <alignment horizontal="center" vertical="center"/>
    </xf>
    <xf numFmtId="0" fontId="66" fillId="37" borderId="39" xfId="3" applyFont="1" applyFill="1" applyBorder="1" applyAlignment="1">
      <alignment horizontal="center" vertical="center"/>
    </xf>
    <xf numFmtId="0" fontId="66" fillId="43" borderId="39" xfId="3" applyFont="1" applyFill="1" applyBorder="1" applyAlignment="1">
      <alignment horizontal="center" vertical="center"/>
    </xf>
    <xf numFmtId="0" fontId="67" fillId="34" borderId="39" xfId="3" applyFont="1" applyBorder="1" applyAlignment="1">
      <alignment horizontal="center" vertical="center"/>
    </xf>
    <xf numFmtId="0" fontId="66" fillId="44" borderId="38" xfId="3" applyFont="1" applyFill="1" applyBorder="1" applyAlignment="1">
      <alignment horizontal="center" vertical="center"/>
    </xf>
    <xf numFmtId="0" fontId="66" fillId="45" borderId="39" xfId="3" applyFont="1" applyFill="1" applyBorder="1" applyAlignment="1">
      <alignment horizontal="center" vertical="center"/>
    </xf>
    <xf numFmtId="0" fontId="66" fillId="46" borderId="38" xfId="3" applyFont="1" applyFill="1" applyBorder="1" applyAlignment="1">
      <alignment horizontal="center" vertical="center"/>
    </xf>
    <xf numFmtId="0" fontId="66" fillId="46" borderId="39" xfId="3" applyFont="1" applyFill="1" applyBorder="1" applyAlignment="1">
      <alignment horizontal="center" vertical="center"/>
    </xf>
    <xf numFmtId="0" fontId="68" fillId="34" borderId="39" xfId="3" applyFont="1" applyBorder="1">
      <alignment vertical="center"/>
    </xf>
    <xf numFmtId="0" fontId="67" fillId="34" borderId="40" xfId="3" applyFont="1" applyBorder="1">
      <alignment vertical="center"/>
    </xf>
    <xf numFmtId="0" fontId="66" fillId="47" borderId="35" xfId="3" applyFont="1" applyFill="1" applyBorder="1" applyAlignment="1">
      <alignment horizontal="center" vertical="center"/>
    </xf>
    <xf numFmtId="0" fontId="66" fillId="47" borderId="39" xfId="3" applyFont="1" applyFill="1" applyBorder="1" applyAlignment="1">
      <alignment horizontal="center" vertical="center"/>
    </xf>
    <xf numFmtId="0" fontId="68" fillId="34" borderId="39" xfId="3" applyFont="1" applyBorder="1" applyAlignment="1">
      <alignment horizontal="center" vertical="center"/>
    </xf>
    <xf numFmtId="0" fontId="68" fillId="47" borderId="39" xfId="3" applyFont="1" applyFill="1" applyBorder="1">
      <alignment vertical="center"/>
    </xf>
    <xf numFmtId="0" fontId="68" fillId="34" borderId="39" xfId="3" applyFont="1" applyBorder="1" applyAlignment="1">
      <alignment vertical="center" wrapText="1"/>
    </xf>
    <xf numFmtId="0" fontId="66" fillId="44" borderId="39" xfId="3" applyFont="1" applyFill="1" applyBorder="1" applyAlignment="1">
      <alignment horizontal="center" vertical="center"/>
    </xf>
    <xf numFmtId="0" fontId="66" fillId="48" borderId="38" xfId="3" applyFont="1" applyFill="1" applyBorder="1" applyAlignment="1">
      <alignment horizontal="center" vertical="center"/>
    </xf>
    <xf numFmtId="0" fontId="66" fillId="38" borderId="39" xfId="3" applyFont="1" applyFill="1" applyBorder="1" applyAlignment="1">
      <alignment horizontal="center" vertical="center"/>
    </xf>
    <xf numFmtId="0" fontId="68" fillId="34" borderId="40" xfId="3" applyFont="1" applyBorder="1">
      <alignment vertical="center"/>
    </xf>
    <xf numFmtId="0" fontId="66" fillId="49" borderId="35" xfId="3" applyFont="1" applyFill="1" applyBorder="1" applyAlignment="1">
      <alignment horizontal="center" vertical="center"/>
    </xf>
    <xf numFmtId="0" fontId="66" fillId="49" borderId="39" xfId="3" applyFont="1" applyFill="1" applyBorder="1" applyAlignment="1">
      <alignment horizontal="center" vertical="center"/>
    </xf>
    <xf numFmtId="0" fontId="66" fillId="44" borderId="35" xfId="3" applyFont="1" applyFill="1" applyBorder="1" applyAlignment="1">
      <alignment horizontal="center" vertical="center"/>
    </xf>
    <xf numFmtId="0" fontId="66" fillId="50" borderId="39" xfId="3" applyFont="1" applyFill="1" applyBorder="1" applyAlignment="1">
      <alignment horizontal="center" vertical="center"/>
    </xf>
    <xf numFmtId="0" fontId="67" fillId="34" borderId="39" xfId="3" applyFont="1" applyBorder="1">
      <alignment vertical="center"/>
    </xf>
    <xf numFmtId="0" fontId="67" fillId="34" borderId="38" xfId="3" applyFont="1" applyBorder="1" applyAlignment="1">
      <alignment horizontal="center" vertical="center"/>
    </xf>
    <xf numFmtId="0" fontId="66" fillId="38" borderId="33" xfId="3" applyFont="1" applyFill="1" applyBorder="1" applyAlignment="1">
      <alignment horizontal="center" vertical="center"/>
    </xf>
    <xf numFmtId="0" fontId="66" fillId="38" borderId="34" xfId="3" applyFont="1" applyFill="1" applyBorder="1" applyAlignment="1">
      <alignment horizontal="center" vertical="center"/>
    </xf>
    <xf numFmtId="0" fontId="66" fillId="38" borderId="35" xfId="3" applyFont="1" applyFill="1" applyBorder="1" applyAlignment="1">
      <alignment horizontal="center" vertical="center"/>
    </xf>
    <xf numFmtId="0" fontId="66" fillId="34" borderId="36" xfId="3" applyFont="1" applyBorder="1" applyAlignment="1">
      <alignment horizontal="center" vertical="center"/>
    </xf>
    <xf numFmtId="0" fontId="66" fillId="34" borderId="37" xfId="3" applyFont="1" applyBorder="1" applyAlignment="1">
      <alignment horizontal="center" vertical="center"/>
    </xf>
    <xf numFmtId="0" fontId="66" fillId="34" borderId="38" xfId="3" applyFont="1" applyBorder="1" applyAlignment="1">
      <alignment horizontal="center" vertical="center"/>
    </xf>
    <xf numFmtId="0" fontId="66" fillId="40" borderId="33" xfId="3" applyFont="1" applyFill="1" applyBorder="1" applyAlignment="1">
      <alignment horizontal="center" vertical="center"/>
    </xf>
    <xf numFmtId="0" fontId="66" fillId="40" borderId="34" xfId="3" applyFont="1" applyFill="1" applyBorder="1" applyAlignment="1">
      <alignment horizontal="center" vertical="center"/>
    </xf>
    <xf numFmtId="0" fontId="66" fillId="40" borderId="42" xfId="3" applyFont="1" applyFill="1" applyBorder="1" applyAlignment="1">
      <alignment horizontal="center" vertical="center"/>
    </xf>
    <xf numFmtId="0" fontId="66" fillId="40" borderId="43" xfId="3" applyFont="1" applyFill="1" applyBorder="1" applyAlignment="1">
      <alignment horizontal="center" vertical="center"/>
    </xf>
    <xf numFmtId="0" fontId="66" fillId="43" borderId="36" xfId="3" applyFont="1" applyFill="1" applyBorder="1" applyAlignment="1">
      <alignment horizontal="center" vertical="center"/>
    </xf>
    <xf numFmtId="0" fontId="66" fillId="43" borderId="37" xfId="3" applyFont="1" applyFill="1" applyBorder="1" applyAlignment="1">
      <alignment horizontal="center" vertical="center"/>
    </xf>
    <xf numFmtId="0" fontId="66" fillId="43" borderId="38" xfId="3" applyFont="1" applyFill="1" applyBorder="1" applyAlignment="1">
      <alignment horizontal="center" vertical="center"/>
    </xf>
    <xf numFmtId="0" fontId="66" fillId="43" borderId="44" xfId="3" applyFont="1" applyFill="1" applyBorder="1" applyAlignment="1">
      <alignment horizontal="center" vertical="center"/>
    </xf>
    <xf numFmtId="0" fontId="66" fillId="47" borderId="36" xfId="3" applyFont="1" applyFill="1" applyBorder="1" applyAlignment="1">
      <alignment horizontal="center" vertical="center"/>
    </xf>
    <xf numFmtId="0" fontId="66" fillId="47" borderId="38" xfId="3" applyFont="1" applyFill="1" applyBorder="1" applyAlignment="1">
      <alignment horizontal="center" vertical="center"/>
    </xf>
    <xf numFmtId="0" fontId="66" fillId="47" borderId="37" xfId="3" applyFont="1" applyFill="1" applyBorder="1" applyAlignment="1">
      <alignment horizontal="center" vertical="center"/>
    </xf>
    <xf numFmtId="0" fontId="66" fillId="37" borderId="36" xfId="3" applyFont="1" applyFill="1" applyBorder="1" applyAlignment="1">
      <alignment horizontal="center" vertical="center"/>
    </xf>
    <xf numFmtId="0" fontId="66" fillId="37" borderId="37" xfId="3" applyFont="1" applyFill="1" applyBorder="1" applyAlignment="1">
      <alignment horizontal="center" vertical="center"/>
    </xf>
    <xf numFmtId="0" fontId="66" fillId="37" borderId="44" xfId="3" applyFont="1" applyFill="1" applyBorder="1" applyAlignment="1">
      <alignment horizontal="center" vertical="center"/>
    </xf>
    <xf numFmtId="0" fontId="68" fillId="34" borderId="40" xfId="3" applyFont="1" applyBorder="1" applyAlignment="1">
      <alignment horizontal="center" vertical="center"/>
    </xf>
    <xf numFmtId="0" fontId="68" fillId="34" borderId="36" xfId="3" applyFont="1" applyBorder="1" applyAlignment="1">
      <alignment horizontal="center" vertical="center"/>
    </xf>
    <xf numFmtId="0" fontId="68" fillId="34" borderId="37" xfId="3" applyFont="1" applyBorder="1" applyAlignment="1">
      <alignment horizontal="center" vertical="center"/>
    </xf>
    <xf numFmtId="0" fontId="68" fillId="34" borderId="44" xfId="3" applyFont="1" applyBorder="1" applyAlignment="1">
      <alignment horizontal="center" vertical="center"/>
    </xf>
    <xf numFmtId="0" fontId="68" fillId="34" borderId="45" xfId="3" applyFont="1" applyBorder="1" applyAlignment="1">
      <alignment horizontal="center" vertical="center"/>
    </xf>
    <xf numFmtId="0" fontId="68" fillId="34" borderId="41" xfId="3" applyFont="1" applyBorder="1" applyAlignment="1">
      <alignment horizontal="center" vertical="center"/>
    </xf>
    <xf numFmtId="0" fontId="66" fillId="44" borderId="36" xfId="3" applyFont="1" applyFill="1" applyBorder="1" applyAlignment="1">
      <alignment horizontal="center" vertical="center"/>
    </xf>
    <xf numFmtId="0" fontId="66" fillId="44" borderId="37" xfId="3" applyFont="1" applyFill="1" applyBorder="1" applyAlignment="1">
      <alignment horizontal="center" vertical="center"/>
    </xf>
    <xf numFmtId="0" fontId="66" fillId="44" borderId="38" xfId="3" applyFont="1" applyFill="1" applyBorder="1" applyAlignment="1">
      <alignment horizontal="center" vertical="center"/>
    </xf>
  </cellXfs>
  <cellStyles count="3">
    <cellStyle name="一般" xfId="0" builtinId="0"/>
    <cellStyle name="一般 2" xfId="2" xr:uid="{06C85A08-B47D-4DB5-8B0C-FBB3CFFBD248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705971</xdr:colOff>
      <xdr:row>110</xdr:row>
      <xdr:rowOff>156882</xdr:rowOff>
    </xdr:from>
    <xdr:to>
      <xdr:col>10</xdr:col>
      <xdr:colOff>44824</xdr:colOff>
      <xdr:row>112</xdr:row>
      <xdr:rowOff>33618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0C9664-8DA9-516C-5BC3-8F43CBDAAF65}"/>
            </a:ext>
          </a:extLst>
        </xdr:cNvPr>
        <xdr:cNvSpPr/>
      </xdr:nvSpPr>
      <xdr:spPr>
        <a:xfrm>
          <a:off x="9558618" y="21111882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156882</xdr:colOff>
      <xdr:row>110</xdr:row>
      <xdr:rowOff>112058</xdr:rowOff>
    </xdr:from>
    <xdr:to>
      <xdr:col>11</xdr:col>
      <xdr:colOff>593911</xdr:colOff>
      <xdr:row>112</xdr:row>
      <xdr:rowOff>33617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2F8A22F-66F6-854F-CDBF-F0DF2C45424D}"/>
            </a:ext>
          </a:extLst>
        </xdr:cNvPr>
        <xdr:cNvSpPr txBox="1"/>
      </xdr:nvSpPr>
      <xdr:spPr>
        <a:xfrm>
          <a:off x="12438529" y="21067058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2.0.0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690282</xdr:colOff>
      <xdr:row>71</xdr:row>
      <xdr:rowOff>152399</xdr:rowOff>
    </xdr:from>
    <xdr:to>
      <xdr:col>10</xdr:col>
      <xdr:colOff>29135</xdr:colOff>
      <xdr:row>73</xdr:row>
      <xdr:rowOff>29135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AFCAA47-2428-4A60-8CF5-1D3843183DEE}"/>
            </a:ext>
          </a:extLst>
        </xdr:cNvPr>
        <xdr:cNvSpPr/>
      </xdr:nvSpPr>
      <xdr:spPr>
        <a:xfrm>
          <a:off x="9542929" y="13677899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73958</xdr:colOff>
      <xdr:row>71</xdr:row>
      <xdr:rowOff>118781</xdr:rowOff>
    </xdr:from>
    <xdr:to>
      <xdr:col>11</xdr:col>
      <xdr:colOff>510987</xdr:colOff>
      <xdr:row>73</xdr:row>
      <xdr:rowOff>40340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BA53D09-02AF-4833-AC1B-ACABCF0D9357}"/>
            </a:ext>
          </a:extLst>
        </xdr:cNvPr>
        <xdr:cNvSpPr txBox="1"/>
      </xdr:nvSpPr>
      <xdr:spPr>
        <a:xfrm>
          <a:off x="12355605" y="13644281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1.4.1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2</xdr:col>
      <xdr:colOff>0</xdr:colOff>
      <xdr:row>235</xdr:row>
      <xdr:rowOff>179294</xdr:rowOff>
    </xdr:from>
    <xdr:to>
      <xdr:col>5</xdr:col>
      <xdr:colOff>728382</xdr:colOff>
      <xdr:row>240</xdr:row>
      <xdr:rowOff>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8950415-D574-AC8F-3730-BF5F9CE0BAEB}"/>
            </a:ext>
          </a:extLst>
        </xdr:cNvPr>
        <xdr:cNvSpPr/>
      </xdr:nvSpPr>
      <xdr:spPr>
        <a:xfrm>
          <a:off x="1647265" y="44946794"/>
          <a:ext cx="7194176" cy="7732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728382</xdr:colOff>
      <xdr:row>232</xdr:row>
      <xdr:rowOff>11206</xdr:rowOff>
    </xdr:from>
    <xdr:to>
      <xdr:col>6</xdr:col>
      <xdr:colOff>728382</xdr:colOff>
      <xdr:row>237</xdr:row>
      <xdr:rowOff>184897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7B206F8E-4ED5-E416-5C40-82839FD61AA3}"/>
            </a:ext>
          </a:extLst>
        </xdr:cNvPr>
        <xdr:cNvCxnSpPr>
          <a:stCxn id="6" idx="3"/>
        </xdr:cNvCxnSpPr>
      </xdr:nvCxnSpPr>
      <xdr:spPr>
        <a:xfrm flipV="1">
          <a:off x="8841441" y="44207206"/>
          <a:ext cx="739588" cy="112619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4" name="弧形向右箭號 1">
          <a:extLst>
            <a:ext uri="{FF2B5EF4-FFF2-40B4-BE49-F238E27FC236}">
              <a16:creationId xmlns:a16="http://schemas.microsoft.com/office/drawing/2014/main" id="{9A84FAF4-8FF7-4D9E-A419-86FA7CE4AC08}"/>
            </a:ext>
          </a:extLst>
        </xdr:cNvPr>
        <xdr:cNvSpPr/>
      </xdr:nvSpPr>
      <xdr:spPr>
        <a:xfrm>
          <a:off x="1109229" y="1375640"/>
          <a:ext cx="982519" cy="57266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9291104A-9A96-4864-A2CD-D4C60DF0AF45}"/>
            </a:ext>
          </a:extLst>
        </xdr:cNvPr>
        <xdr:cNvSpPr/>
      </xdr:nvSpPr>
      <xdr:spPr>
        <a:xfrm>
          <a:off x="1109229" y="1375640"/>
          <a:ext cx="982519" cy="57139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14</xdr:row>
      <xdr:rowOff>134471</xdr:rowOff>
    </xdr:from>
    <xdr:to>
      <xdr:col>2</xdr:col>
      <xdr:colOff>1450398</xdr:colOff>
      <xdr:row>36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4809DA8E-4D3F-4D60-9F23-F9A1AE8402EE}"/>
            </a:ext>
          </a:extLst>
        </xdr:cNvPr>
        <xdr:cNvSpPr/>
      </xdr:nvSpPr>
      <xdr:spPr>
        <a:xfrm>
          <a:off x="1109229" y="3753971"/>
          <a:ext cx="982519" cy="522791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1535206</xdr:colOff>
      <xdr:row>4</xdr:row>
      <xdr:rowOff>190500</xdr:rowOff>
    </xdr:from>
    <xdr:to>
      <xdr:col>6</xdr:col>
      <xdr:colOff>44824</xdr:colOff>
      <xdr:row>9</xdr:row>
      <xdr:rowOff>212912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302E3D-CA00-4341-8A19-F8E5F1C3B250}"/>
            </a:ext>
          </a:extLst>
        </xdr:cNvPr>
        <xdr:cNvSpPr/>
      </xdr:nvSpPr>
      <xdr:spPr>
        <a:xfrm>
          <a:off x="2087656" y="1454150"/>
          <a:ext cx="6383618" cy="12987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100853</xdr:colOff>
      <xdr:row>6</xdr:row>
      <xdr:rowOff>56030</xdr:rowOff>
    </xdr:from>
    <xdr:ext cx="1604670" cy="62344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56D268F-C0B8-4A64-BA95-DC188252E768}"/>
            </a:ext>
          </a:extLst>
        </xdr:cNvPr>
        <xdr:cNvSpPr txBox="1"/>
      </xdr:nvSpPr>
      <xdr:spPr>
        <a:xfrm>
          <a:off x="8527303" y="1751480"/>
          <a:ext cx="1604670" cy="62344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ICM: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ICS_L:</a:t>
          </a:r>
          <a:r>
            <a:rPr lang="en-US" altLang="zh-TW" sz="12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ICS_R: 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  <a:endParaRPr lang="zh-TW" altLang="en-US" sz="12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1541930</xdr:colOff>
      <xdr:row>13</xdr:row>
      <xdr:rowOff>197224</xdr:rowOff>
    </xdr:from>
    <xdr:to>
      <xdr:col>6</xdr:col>
      <xdr:colOff>44824</xdr:colOff>
      <xdr:row>16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FC65367-772E-4570-AC5B-81DC5C021B64}"/>
            </a:ext>
          </a:extLst>
        </xdr:cNvPr>
        <xdr:cNvSpPr/>
      </xdr:nvSpPr>
      <xdr:spPr>
        <a:xfrm>
          <a:off x="2088030" y="3600824"/>
          <a:ext cx="6383244" cy="4616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2242</xdr:colOff>
      <xdr:row>33</xdr:row>
      <xdr:rowOff>13448</xdr:rowOff>
    </xdr:from>
    <xdr:to>
      <xdr:col>6</xdr:col>
      <xdr:colOff>44825</xdr:colOff>
      <xdr:row>39</xdr:row>
      <xdr:rowOff>22412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B4AF8F-7988-4289-B095-93031A5F4A7F}"/>
            </a:ext>
          </a:extLst>
        </xdr:cNvPr>
        <xdr:cNvSpPr/>
      </xdr:nvSpPr>
      <xdr:spPr>
        <a:xfrm>
          <a:off x="2091392" y="8160498"/>
          <a:ext cx="6379883" cy="15139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0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45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2E441A60-0E8D-4616-B550-C2749DBA716C}"/>
            </a:ext>
          </a:extLst>
        </xdr:cNvPr>
        <xdr:cNvSpPr/>
      </xdr:nvSpPr>
      <xdr:spPr>
        <a:xfrm>
          <a:off x="1134629" y="3317240"/>
          <a:ext cx="982519" cy="63919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83415</xdr:rowOff>
    </xdr:from>
    <xdr:to>
      <xdr:col>3</xdr:col>
      <xdr:colOff>2598</xdr:colOff>
      <xdr:row>42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E4D83AA0-3391-4E72-A5DA-217E2997855C}"/>
            </a:ext>
          </a:extLst>
        </xdr:cNvPr>
        <xdr:cNvSpPr/>
      </xdr:nvSpPr>
      <xdr:spPr>
        <a:xfrm>
          <a:off x="600075" y="2674215"/>
          <a:ext cx="1517073" cy="640628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1663699</xdr:colOff>
      <xdr:row>23</xdr:row>
      <xdr:rowOff>57150</xdr:rowOff>
    </xdr:from>
    <xdr:to>
      <xdr:col>4</xdr:col>
      <xdr:colOff>2009774</xdr:colOff>
      <xdr:row>25</xdr:row>
      <xdr:rowOff>190500</xdr:rowOff>
    </xdr:to>
    <xdr:sp macro="" textlink="">
      <xdr:nvSpPr>
        <xdr:cNvPr id="3" name="箭號: 上-下雙向 2">
          <a:extLst>
            <a:ext uri="{FF2B5EF4-FFF2-40B4-BE49-F238E27FC236}">
              <a16:creationId xmlns:a16="http://schemas.microsoft.com/office/drawing/2014/main" id="{75BF11A9-AAB9-4D06-902D-5C79D28B01B0}"/>
            </a:ext>
          </a:extLst>
        </xdr:cNvPr>
        <xdr:cNvSpPr/>
      </xdr:nvSpPr>
      <xdr:spPr>
        <a:xfrm>
          <a:off x="5035549" y="5029200"/>
          <a:ext cx="346075" cy="565150"/>
        </a:xfrm>
        <a:prstGeom prst="up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615950</xdr:colOff>
      <xdr:row>23</xdr:row>
      <xdr:rowOff>111125</xdr:rowOff>
    </xdr:from>
    <xdr:ext cx="2104615" cy="43678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7444900-C960-454C-ADF7-215EB396D11B}"/>
            </a:ext>
          </a:extLst>
        </xdr:cNvPr>
        <xdr:cNvSpPr txBox="1"/>
      </xdr:nvSpPr>
      <xdr:spPr>
        <a:xfrm>
          <a:off x="2730500" y="5083175"/>
          <a:ext cx="2104615" cy="4367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256KB</a:t>
          </a:r>
          <a:r>
            <a:rPr lang="en-US" altLang="zh-TW" sz="1100" baseline="0"/>
            <a:t> for IC&lt;= 13</a:t>
          </a:r>
        </a:p>
        <a:p>
          <a:r>
            <a:rPr lang="en-US" altLang="zh-TW" sz="1100" baseline="0"/>
            <a:t>512KB for IC &gt;13, Max limit to 29.</a:t>
          </a:r>
          <a:endParaRPr lang="zh-TW" altLang="en-US" sz="1100"/>
        </a:p>
      </xdr:txBody>
    </xdr:sp>
    <xdr:clientData/>
  </xdr:oneCellAnchor>
  <xdr:twoCellAnchor editAs="oneCell">
    <xdr:from>
      <xdr:col>7</xdr:col>
      <xdr:colOff>825500</xdr:colOff>
      <xdr:row>37</xdr:row>
      <xdr:rowOff>181429</xdr:rowOff>
    </xdr:from>
    <xdr:to>
      <xdr:col>12</xdr:col>
      <xdr:colOff>19992</xdr:colOff>
      <xdr:row>58</xdr:row>
      <xdr:rowOff>52756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148936-BB97-4DFC-B8C1-EB2C3A4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950" y="8182429"/>
          <a:ext cx="6020742" cy="3713077"/>
        </a:xfrm>
        <a:prstGeom prst="rect">
          <a:avLst/>
        </a:prstGeom>
      </xdr:spPr>
    </xdr:pic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54428</xdr:colOff>
      <xdr:row>23</xdr:row>
      <xdr:rowOff>40821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B1B8F5-96CD-4836-B9BE-A1D9509A98AF}"/>
            </a:ext>
          </a:extLst>
        </xdr:cNvPr>
        <xdr:cNvSpPr/>
      </xdr:nvSpPr>
      <xdr:spPr>
        <a:xfrm>
          <a:off x="2046515" y="4096657"/>
          <a:ext cx="6275613" cy="91621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51253</xdr:colOff>
      <xdr:row>23</xdr:row>
      <xdr:rowOff>43996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39BC7-5DC7-43AB-8CE2-1010B21B2532}"/>
            </a:ext>
          </a:extLst>
        </xdr:cNvPr>
        <xdr:cNvSpPr/>
      </xdr:nvSpPr>
      <xdr:spPr>
        <a:xfrm>
          <a:off x="2046515" y="4096657"/>
          <a:ext cx="6272438" cy="91938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44903</xdr:colOff>
      <xdr:row>23</xdr:row>
      <xdr:rowOff>50346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5ECC6FB-A2B2-45A0-A776-B5F1D82B6CF8}"/>
            </a:ext>
          </a:extLst>
        </xdr:cNvPr>
        <xdr:cNvSpPr/>
      </xdr:nvSpPr>
      <xdr:spPr>
        <a:xfrm>
          <a:off x="2046515" y="4096657"/>
          <a:ext cx="6266088" cy="92573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1387928</xdr:colOff>
      <xdr:row>25</xdr:row>
      <xdr:rowOff>190500</xdr:rowOff>
    </xdr:from>
    <xdr:to>
      <xdr:col>6</xdr:col>
      <xdr:colOff>72116</xdr:colOff>
      <xdr:row>30</xdr:row>
      <xdr:rowOff>39914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9F57E5B-DC00-4E90-9B95-F06B60DAC2FB}"/>
            </a:ext>
          </a:extLst>
        </xdr:cNvPr>
        <xdr:cNvSpPr/>
      </xdr:nvSpPr>
      <xdr:spPr>
        <a:xfrm>
          <a:off x="2073728" y="5594350"/>
          <a:ext cx="6266088" cy="93526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830035</xdr:colOff>
      <xdr:row>46</xdr:row>
      <xdr:rowOff>108857</xdr:rowOff>
    </xdr:from>
    <xdr:to>
      <xdr:col>21</xdr:col>
      <xdr:colOff>49439</xdr:colOff>
      <xdr:row>60</xdr:row>
      <xdr:rowOff>20410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A29794E7-FA86-4809-9C42-E6096117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485" y="10052957"/>
          <a:ext cx="12141654" cy="248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43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0A6215A5-D237-4C27-8544-EC2604058235}"/>
            </a:ext>
          </a:extLst>
        </xdr:cNvPr>
        <xdr:cNvSpPr/>
      </xdr:nvSpPr>
      <xdr:spPr>
        <a:xfrm>
          <a:off x="1134629" y="3304540"/>
          <a:ext cx="982519" cy="59601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1548317</xdr:colOff>
      <xdr:row>25</xdr:row>
      <xdr:rowOff>50539</xdr:rowOff>
    </xdr:from>
    <xdr:to>
      <xdr:col>12</xdr:col>
      <xdr:colOff>570268</xdr:colOff>
      <xdr:row>45</xdr:row>
      <xdr:rowOff>145789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DB19D031-A13B-42A5-9E78-CC22CA40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767" y="5416289"/>
          <a:ext cx="6483201" cy="442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L380"/>
  <sheetViews>
    <sheetView zoomScale="85" zoomScaleNormal="85" workbookViewId="0">
      <selection activeCell="L11" sqref="L11"/>
    </sheetView>
  </sheetViews>
  <sheetFormatPr defaultColWidth="8.85546875" defaultRowHeight="15"/>
  <cols>
    <col min="1" max="1" width="8.85546875" style="2"/>
    <col min="2" max="2" width="15.7109375" style="2" bestFit="1" customWidth="1"/>
    <col min="3" max="3" width="19.85546875" style="2" customWidth="1"/>
    <col min="4" max="4" width="54.42578125" style="2" customWidth="1"/>
    <col min="5" max="5" width="22.7109375" style="2" bestFit="1" customWidth="1"/>
    <col min="6" max="7" width="11.140625" style="2" bestFit="1" customWidth="1"/>
    <col min="8" max="8" width="18.140625" style="2" bestFit="1" customWidth="1"/>
    <col min="9" max="9" width="11.140625" style="2" bestFit="1" customWidth="1"/>
    <col min="10" max="10" width="11.140625" style="2" customWidth="1"/>
    <col min="11" max="11" width="15" style="2" bestFit="1" customWidth="1"/>
    <col min="12" max="12" width="23.140625" style="2" bestFit="1" customWidth="1"/>
    <col min="13" max="16" width="11.140625" style="2" bestFit="1" customWidth="1"/>
    <col min="17" max="17" width="11.140625" style="2" customWidth="1"/>
    <col min="18" max="18" width="11.140625" style="2" bestFit="1" customWidth="1"/>
    <col min="19" max="16384" width="8.85546875" style="2"/>
  </cols>
  <sheetData>
    <row r="1" spans="3:12">
      <c r="L1" s="189" t="s">
        <v>673</v>
      </c>
    </row>
    <row r="2" spans="3:12">
      <c r="C2" s="225">
        <v>51920</v>
      </c>
      <c r="D2" s="225"/>
      <c r="E2" s="225"/>
      <c r="F2" s="225"/>
      <c r="L2" s="197" t="s">
        <v>671</v>
      </c>
    </row>
    <row r="3" spans="3:12">
      <c r="C3" s="80" t="s">
        <v>537</v>
      </c>
      <c r="D3" s="80" t="s">
        <v>163</v>
      </c>
      <c r="E3" s="80" t="s">
        <v>492</v>
      </c>
      <c r="F3" s="80" t="s">
        <v>266</v>
      </c>
      <c r="L3" s="198" t="s">
        <v>672</v>
      </c>
    </row>
    <row r="4" spans="3:12" ht="15" customHeight="1">
      <c r="C4" s="79" t="s">
        <v>165</v>
      </c>
      <c r="D4" s="226" t="s">
        <v>169</v>
      </c>
      <c r="E4" s="220">
        <f>HEX2DEC(SUBSTITUTE(C5,"0x","")) - HEX2DEC(SUBSTITUTE(C4,"0x",""))+1</f>
        <v>256</v>
      </c>
      <c r="F4" s="220" t="str">
        <f>"0x"&amp;DEC2HEX(E4, 5)</f>
        <v>0x00100</v>
      </c>
      <c r="H4" s="208" t="s">
        <v>484</v>
      </c>
      <c r="I4" s="208"/>
      <c r="J4" s="208"/>
      <c r="L4" s="199" t="s">
        <v>674</v>
      </c>
    </row>
    <row r="5" spans="3:12" ht="15" customHeight="1">
      <c r="C5" s="79" t="s">
        <v>517</v>
      </c>
      <c r="D5" s="226"/>
      <c r="E5" s="220"/>
      <c r="F5" s="220"/>
      <c r="H5" s="193" t="s">
        <v>490</v>
      </c>
      <c r="I5" s="193" t="s">
        <v>164</v>
      </c>
      <c r="J5" s="193" t="s">
        <v>266</v>
      </c>
    </row>
    <row r="6" spans="3:12" ht="15" customHeight="1">
      <c r="C6" s="79" t="s">
        <v>351</v>
      </c>
      <c r="D6" s="224" t="s">
        <v>498</v>
      </c>
      <c r="E6" s="220">
        <f>HEX2DEC(SUBSTITUTE(C7,"0x","")) - HEX2DEC(SUBSTITUTE(C6,"0x",""))+1</f>
        <v>1920</v>
      </c>
      <c r="F6" s="220" t="str">
        <f>"0x"&amp;DEC2HEX(E6, 5)</f>
        <v>0x00780</v>
      </c>
      <c r="H6" s="138" t="s">
        <v>486</v>
      </c>
      <c r="I6" s="138">
        <v>8080</v>
      </c>
      <c r="J6" s="138" t="str">
        <f>"0x"&amp;DEC2HEX(I6, 5)</f>
        <v>0x01F90</v>
      </c>
    </row>
    <row r="7" spans="3:12" ht="15" customHeight="1">
      <c r="C7" s="79" t="s">
        <v>520</v>
      </c>
      <c r="D7" s="224"/>
      <c r="E7" s="220"/>
      <c r="F7" s="220"/>
      <c r="H7" s="138" t="s">
        <v>487</v>
      </c>
      <c r="I7" s="138">
        <v>10240</v>
      </c>
      <c r="J7" s="138" t="str">
        <f t="shared" ref="J7:J11" si="0">"0x"&amp;DEC2HEX(I7, 5)</f>
        <v>0x02800</v>
      </c>
    </row>
    <row r="8" spans="3:12" ht="15" customHeight="1">
      <c r="C8" s="79" t="s">
        <v>519</v>
      </c>
      <c r="D8" s="227" t="s">
        <v>614</v>
      </c>
      <c r="E8" s="220">
        <f t="shared" ref="E8" si="1">HEX2DEC(SUBSTITUTE(C9,"0x","")) - HEX2DEC(SUBSTITUTE(C8,"0x",""))+1</f>
        <v>10240</v>
      </c>
      <c r="F8" s="220" t="str">
        <f t="shared" ref="F8" si="2">"0x"&amp;DEC2HEX(E8, 5)</f>
        <v>0x02800</v>
      </c>
      <c r="H8" s="138" t="s">
        <v>488</v>
      </c>
      <c r="I8" s="138">
        <v>4120</v>
      </c>
      <c r="J8" s="138" t="str">
        <f t="shared" si="0"/>
        <v>0x01018</v>
      </c>
    </row>
    <row r="9" spans="3:12" ht="15" customHeight="1">
      <c r="C9" s="190" t="str">
        <f>"0x"&amp;DEC2HEX(_xlfn.DECIMAL(SUBSTITUTE(C8,"0x",""),16) + I7 - 1)</f>
        <v>0x24F7F</v>
      </c>
      <c r="D9" s="228"/>
      <c r="E9" s="220"/>
      <c r="F9" s="220"/>
      <c r="H9" s="138" t="s">
        <v>489</v>
      </c>
      <c r="I9" s="138">
        <v>10240</v>
      </c>
      <c r="J9" s="138" t="str">
        <f t="shared" si="0"/>
        <v>0x02800</v>
      </c>
    </row>
    <row r="10" spans="3:12" ht="15" customHeight="1">
      <c r="C10" s="79" t="s">
        <v>610</v>
      </c>
      <c r="D10" s="227" t="s">
        <v>544</v>
      </c>
      <c r="E10" s="220">
        <f t="shared" ref="E10" si="3">HEX2DEC(SUBSTITUTE(C11,"0x","")) - HEX2DEC(SUBSTITUTE(C10,"0x",""))+1</f>
        <v>5888</v>
      </c>
      <c r="F10" s="220" t="str">
        <f t="shared" ref="F10" si="4">"0x"&amp;DEC2HEX(E10, 5)</f>
        <v>0x01700</v>
      </c>
      <c r="H10" s="138" t="s">
        <v>491</v>
      </c>
      <c r="I10" s="138">
        <v>5888</v>
      </c>
      <c r="J10" s="138" t="str">
        <f t="shared" si="0"/>
        <v>0x01700</v>
      </c>
    </row>
    <row r="11" spans="3:12" ht="15" customHeight="1">
      <c r="C11" s="190" t="str">
        <f>"0x"&amp;DEC2HEX(_xlfn.DECIMAL(SUBSTITUTE(C10,"0x",""),16) + I10 - 1)</f>
        <v>0x2667F</v>
      </c>
      <c r="D11" s="228"/>
      <c r="E11" s="220"/>
      <c r="F11" s="220"/>
      <c r="H11" s="192" t="s">
        <v>621</v>
      </c>
      <c r="I11" s="192">
        <v>600</v>
      </c>
      <c r="J11" s="138" t="str">
        <f t="shared" si="0"/>
        <v>0x00258</v>
      </c>
    </row>
    <row r="12" spans="3:12" ht="15" customHeight="1">
      <c r="C12" s="79" t="s">
        <v>611</v>
      </c>
      <c r="D12" s="226" t="s">
        <v>619</v>
      </c>
      <c r="E12" s="220">
        <f t="shared" ref="E12" si="5">HEX2DEC(SUBSTITUTE(C13,"0x","")) - HEX2DEC(SUBSTITUTE(C12,"0x",""))+1</f>
        <v>256</v>
      </c>
      <c r="F12" s="220" t="str">
        <f t="shared" ref="F12" si="6">"0x"&amp;DEC2HEX(E12, 5)</f>
        <v>0x00100</v>
      </c>
    </row>
    <row r="13" spans="3:12" ht="15" customHeight="1">
      <c r="C13" s="190" t="str">
        <f>"0x"&amp;DEC2HEX(_xlfn.DECIMAL(SUBSTITUTE(C12,"0x",""),16) + I15 - 1)</f>
        <v>0x2677F</v>
      </c>
      <c r="D13" s="226"/>
      <c r="E13" s="220"/>
      <c r="F13" s="220"/>
      <c r="H13" s="208" t="s">
        <v>514</v>
      </c>
      <c r="I13" s="208"/>
      <c r="J13" s="208"/>
    </row>
    <row r="14" spans="3:12" ht="15" customHeight="1">
      <c r="C14" s="79" t="s">
        <v>612</v>
      </c>
      <c r="D14" s="220" t="s">
        <v>613</v>
      </c>
      <c r="E14" s="220">
        <f t="shared" ref="E14" si="7">HEX2DEC(SUBSTITUTE(C15,"0x","")) - HEX2DEC(SUBSTITUTE(C14,"0x",""))+1</f>
        <v>10240</v>
      </c>
      <c r="F14" s="220" t="str">
        <f t="shared" ref="F14" si="8">"0x"&amp;DEC2HEX(E14, 5)</f>
        <v>0x02800</v>
      </c>
      <c r="H14" s="193" t="s">
        <v>490</v>
      </c>
      <c r="I14" s="193" t="s">
        <v>164</v>
      </c>
      <c r="J14" s="193" t="s">
        <v>266</v>
      </c>
    </row>
    <row r="15" spans="3:12" ht="15" customHeight="1">
      <c r="C15" s="190" t="str">
        <f>"0x"&amp;DEC2HEX(_xlfn.DECIMAL(SUBSTITUTE(C14,"0x",""),16) + I7 - 1)</f>
        <v>0x28F7F</v>
      </c>
      <c r="D15" s="220"/>
      <c r="E15" s="220"/>
      <c r="F15" s="220"/>
      <c r="H15" s="192" t="s">
        <v>242</v>
      </c>
      <c r="I15" s="192">
        <v>256</v>
      </c>
      <c r="J15" s="138" t="str">
        <f t="shared" ref="J15" si="9">"0x"&amp;DEC2HEX(I15, 5)</f>
        <v>0x00100</v>
      </c>
    </row>
    <row r="16" spans="3:12" ht="15" customHeight="1">
      <c r="C16" s="79" t="s">
        <v>615</v>
      </c>
      <c r="D16" s="227" t="s">
        <v>616</v>
      </c>
      <c r="E16" s="220">
        <f t="shared" ref="E16" si="10">HEX2DEC(SUBSTITUTE(C17,"0x","")) - HEX2DEC(SUBSTITUTE(C16,"0x",""))+1</f>
        <v>5888</v>
      </c>
      <c r="F16" s="220" t="str">
        <f t="shared" ref="F16" si="11">"0x"&amp;DEC2HEX(E16, 5)</f>
        <v>0x01700</v>
      </c>
      <c r="H16" s="138"/>
      <c r="I16" s="138"/>
      <c r="J16" s="138"/>
    </row>
    <row r="17" spans="3:10" ht="15" customHeight="1">
      <c r="C17" s="190" t="str">
        <f>"0x"&amp;DEC2HEX(_xlfn.DECIMAL(SUBSTITUTE(C16,"0x",""),16) + I10 - 1)</f>
        <v>0x2A67F</v>
      </c>
      <c r="D17" s="228"/>
      <c r="E17" s="220"/>
      <c r="F17" s="220"/>
      <c r="H17" s="138"/>
      <c r="I17" s="138"/>
      <c r="J17" s="138"/>
    </row>
    <row r="18" spans="3:10" ht="15" customHeight="1">
      <c r="C18" s="79" t="s">
        <v>618</v>
      </c>
      <c r="D18" s="226" t="s">
        <v>617</v>
      </c>
      <c r="E18" s="220">
        <f t="shared" ref="E18" si="12">HEX2DEC(SUBSTITUTE(C19,"0x","")) - HEX2DEC(SUBSTITUTE(C18,"0x",""))+1</f>
        <v>256</v>
      </c>
      <c r="F18" s="220" t="str">
        <f t="shared" ref="F18" si="13">"0x"&amp;DEC2HEX(E18, 5)</f>
        <v>0x00100</v>
      </c>
      <c r="H18" s="138"/>
      <c r="I18" s="138"/>
      <c r="J18" s="138"/>
    </row>
    <row r="19" spans="3:10" ht="15" customHeight="1">
      <c r="C19" s="190" t="str">
        <f>"0x"&amp;DEC2HEX(_xlfn.DECIMAL(SUBSTITUTE(C18,"0x",""),16) + I15 - 1)</f>
        <v>0x2A77F</v>
      </c>
      <c r="D19" s="226"/>
      <c r="E19" s="220"/>
      <c r="F19" s="220"/>
      <c r="H19" s="138"/>
      <c r="I19" s="138"/>
      <c r="J19" s="138"/>
    </row>
    <row r="20" spans="3:10" ht="15" customHeight="1">
      <c r="C20" s="79" t="s">
        <v>620</v>
      </c>
      <c r="D20" s="220" t="s">
        <v>263</v>
      </c>
      <c r="E20" s="220">
        <f t="shared" ref="E20" si="14">HEX2DEC(SUBSTITUTE(C21,"0x","")) - HEX2DEC(SUBSTITUTE(C20,"0x",""))+1</f>
        <v>8080</v>
      </c>
      <c r="F20" s="220" t="str">
        <f t="shared" ref="F20" si="15">"0x"&amp;DEC2HEX(E20, 5)</f>
        <v>0x01F90</v>
      </c>
    </row>
    <row r="21" spans="3:10" ht="15" customHeight="1">
      <c r="C21" s="190" t="str">
        <f>"0x"&amp;DEC2HEX(_xlfn.DECIMAL(SUBSTITUTE(C20,"0x",""),16) + I6 - 1)</f>
        <v>0x2C70F</v>
      </c>
      <c r="D21" s="220"/>
      <c r="E21" s="220"/>
      <c r="F21" s="220"/>
    </row>
    <row r="22" spans="3:10">
      <c r="C22" s="79" t="s">
        <v>622</v>
      </c>
      <c r="D22" s="220" t="s">
        <v>265</v>
      </c>
      <c r="E22" s="220">
        <f t="shared" ref="E22" si="16">HEX2DEC(SUBSTITUTE(C23,"0x","")) - HEX2DEC(SUBSTITUTE(C22,"0x",""))+1</f>
        <v>4120</v>
      </c>
      <c r="F22" s="220" t="str">
        <f t="shared" ref="F22" si="17">"0x"&amp;DEC2HEX(E22, 5)</f>
        <v>0x01018</v>
      </c>
    </row>
    <row r="23" spans="3:10">
      <c r="C23" s="190" t="str">
        <f>"0x"&amp;DEC2HEX(_xlfn.DECIMAL(SUBSTITUTE(C22,"0x",""),16) + I8 - 1)</f>
        <v>0x2D727</v>
      </c>
      <c r="D23" s="220"/>
      <c r="E23" s="220"/>
      <c r="F23" s="220"/>
    </row>
    <row r="24" spans="3:10">
      <c r="C24" s="79" t="s">
        <v>624</v>
      </c>
      <c r="D24" s="220" t="s">
        <v>623</v>
      </c>
      <c r="E24" s="220">
        <f>HEX2DEC(SUBSTITUTE(C25,"0x","")) - HEX2DEC(SUBSTITUTE(C24,"0x",""))+1</f>
        <v>600</v>
      </c>
      <c r="F24" s="220" t="str">
        <f t="shared" ref="F24" si="18">"0x"&amp;DEC2HEX(E24, 5)</f>
        <v>0x00258</v>
      </c>
    </row>
    <row r="25" spans="3:10">
      <c r="C25" s="190" t="str">
        <f>"0x"&amp;DEC2HEX(_xlfn.DECIMAL(SUBSTITUTE(C24,"0x",""),16) + I11 - 1)</f>
        <v>0x2D97F</v>
      </c>
      <c r="D25" s="220"/>
      <c r="E25" s="220"/>
      <c r="F25" s="220"/>
    </row>
    <row r="26" spans="3:10">
      <c r="C26" s="79" t="s">
        <v>626</v>
      </c>
      <c r="D26" s="224" t="s">
        <v>625</v>
      </c>
      <c r="E26" s="220">
        <f>HEX2DEC(SUBSTITUTE(C27,"0x","")) - HEX2DEC(SUBSTITUTE(C26,"0x",""))+1</f>
        <v>1920</v>
      </c>
      <c r="F26" s="220" t="str">
        <f>"0x"&amp;DEC2HEX(E26, 5)</f>
        <v>0x00780</v>
      </c>
    </row>
    <row r="27" spans="3:10">
      <c r="C27" s="79" t="s">
        <v>627</v>
      </c>
      <c r="D27" s="224"/>
      <c r="E27" s="220"/>
      <c r="F27" s="220"/>
    </row>
    <row r="28" spans="3:10">
      <c r="C28" s="79" t="s">
        <v>628</v>
      </c>
      <c r="D28" s="220" t="s">
        <v>185</v>
      </c>
      <c r="E28" s="220">
        <f>HEX2DEC(SUBSTITUTE(C29,"0x","")) - HEX2DEC(SUBSTITUTE(C28,"0x",""))+1</f>
        <v>4</v>
      </c>
      <c r="F28" s="220" t="str">
        <f>"0x"&amp;DEC2HEX(E28, 5)</f>
        <v>0x00004</v>
      </c>
    </row>
    <row r="29" spans="3:10">
      <c r="C29" s="79" t="s">
        <v>629</v>
      </c>
      <c r="D29" s="220"/>
      <c r="E29" s="220"/>
      <c r="F29" s="220"/>
      <c r="J29" s="189" t="s">
        <v>630</v>
      </c>
    </row>
    <row r="30" spans="3:10">
      <c r="C30" s="79" t="s">
        <v>512</v>
      </c>
      <c r="D30" s="219" t="s">
        <v>261</v>
      </c>
      <c r="E30" s="220">
        <f t="shared" ref="E30" si="19">HEX2DEC(SUBSTITUTE(C31,"0x","")) - HEX2DEC(SUBSTITUTE(C30,"0x",""))+1</f>
        <v>8192</v>
      </c>
      <c r="F30" s="220" t="str">
        <f t="shared" ref="F30" si="20">"0x"&amp;DEC2HEX(E30, 5)</f>
        <v>0x02000</v>
      </c>
      <c r="H30" s="218" t="s">
        <v>483</v>
      </c>
      <c r="I30" s="218">
        <f>HEX2DEC(SUBSTITUTE(C29,"0x","")) - HEX2DEC(SUBSTITUTE(C4,"0x",""))+1</f>
        <v>196608</v>
      </c>
      <c r="J30" s="218" t="str">
        <f>"0x"&amp;DEC2HEX(I30, 5)</f>
        <v>0x30000</v>
      </c>
    </row>
    <row r="31" spans="3:10">
      <c r="C31" s="79" t="s">
        <v>258</v>
      </c>
      <c r="D31" s="219"/>
      <c r="E31" s="220"/>
      <c r="F31" s="220"/>
      <c r="H31" s="218"/>
      <c r="I31" s="218"/>
      <c r="J31" s="218"/>
    </row>
    <row r="33" spans="3:10">
      <c r="C33" s="225">
        <v>51923</v>
      </c>
      <c r="D33" s="225"/>
      <c r="E33" s="225"/>
      <c r="F33" s="225"/>
    </row>
    <row r="34" spans="3:10">
      <c r="C34" s="80" t="s">
        <v>537</v>
      </c>
      <c r="D34" s="80" t="s">
        <v>163</v>
      </c>
      <c r="E34" s="80" t="s">
        <v>492</v>
      </c>
      <c r="F34" s="80" t="s">
        <v>266</v>
      </c>
      <c r="H34" s="208" t="s">
        <v>484</v>
      </c>
      <c r="I34" s="208"/>
      <c r="J34" s="208"/>
    </row>
    <row r="35" spans="3:10">
      <c r="C35" s="79" t="s">
        <v>165</v>
      </c>
      <c r="D35" s="226" t="s">
        <v>169</v>
      </c>
      <c r="E35" s="220">
        <f>HEX2DEC(SUBSTITUTE(C36,"0x","")) - HEX2DEC(SUBSTITUTE(C35,"0x",""))+1</f>
        <v>256</v>
      </c>
      <c r="F35" s="220" t="str">
        <f>"0x"&amp;DEC2HEX(E35, 5)</f>
        <v>0x00100</v>
      </c>
      <c r="H35" s="193" t="s">
        <v>490</v>
      </c>
      <c r="I35" s="193" t="s">
        <v>164</v>
      </c>
      <c r="J35" s="193" t="s">
        <v>266</v>
      </c>
    </row>
    <row r="36" spans="3:10">
      <c r="C36" s="79" t="s">
        <v>517</v>
      </c>
      <c r="D36" s="226"/>
      <c r="E36" s="220"/>
      <c r="F36" s="220"/>
      <c r="H36" s="138" t="s">
        <v>486</v>
      </c>
      <c r="I36" s="138">
        <v>17584</v>
      </c>
      <c r="J36" s="138" t="str">
        <f>"0x"&amp;DEC2HEX(I36, 5)</f>
        <v>0x044B0</v>
      </c>
    </row>
    <row r="37" spans="3:10">
      <c r="C37" s="79" t="s">
        <v>339</v>
      </c>
      <c r="D37" s="220" t="s">
        <v>340</v>
      </c>
      <c r="E37" s="220">
        <f t="shared" ref="E37" si="21">HEX2DEC(SUBSTITUTE(C38,"0x","")) - HEX2DEC(SUBSTITUTE(C37,"0x",""))+1</f>
        <v>130560</v>
      </c>
      <c r="F37" s="220" t="str">
        <f t="shared" ref="F37" si="22">"0x"&amp;DEC2HEX(E37, 5)</f>
        <v>0x1FE00</v>
      </c>
      <c r="H37" s="138" t="s">
        <v>487</v>
      </c>
      <c r="I37" s="138">
        <f>14 * 1024</f>
        <v>14336</v>
      </c>
      <c r="J37" s="138" t="str">
        <f t="shared" ref="J37:J40" si="23">"0x"&amp;DEC2HEX(I37, 5)</f>
        <v>0x03800</v>
      </c>
    </row>
    <row r="38" spans="3:10">
      <c r="C38" s="79" t="s">
        <v>341</v>
      </c>
      <c r="D38" s="220"/>
      <c r="E38" s="220"/>
      <c r="F38" s="220"/>
      <c r="H38" s="138" t="s">
        <v>488</v>
      </c>
      <c r="I38" s="138">
        <v>5728</v>
      </c>
      <c r="J38" s="138" t="str">
        <f t="shared" si="23"/>
        <v>0x01660</v>
      </c>
    </row>
    <row r="39" spans="3:10">
      <c r="C39" s="79" t="s">
        <v>343</v>
      </c>
      <c r="D39" s="220" t="s">
        <v>344</v>
      </c>
      <c r="E39" s="220">
        <f t="shared" ref="E39" si="24">HEX2DEC(SUBSTITUTE(C40,"0x","")) - HEX2DEC(SUBSTITUTE(C39,"0x",""))+1</f>
        <v>8192</v>
      </c>
      <c r="F39" s="220" t="str">
        <f t="shared" ref="F39" si="25">"0x"&amp;DEC2HEX(E39, 5)</f>
        <v>0x02000</v>
      </c>
      <c r="H39" s="138" t="s">
        <v>489</v>
      </c>
      <c r="I39" s="138">
        <f xml:space="preserve"> 2 * 3 * 1024</f>
        <v>6144</v>
      </c>
      <c r="J39" s="138" t="str">
        <f t="shared" si="23"/>
        <v>0x01800</v>
      </c>
    </row>
    <row r="40" spans="3:10">
      <c r="C40" s="79" t="s">
        <v>348</v>
      </c>
      <c r="D40" s="220"/>
      <c r="E40" s="220"/>
      <c r="F40" s="220"/>
      <c r="H40" s="138" t="s">
        <v>491</v>
      </c>
      <c r="I40" s="138">
        <f>10 * 1024</f>
        <v>10240</v>
      </c>
      <c r="J40" s="138" t="str">
        <f t="shared" si="23"/>
        <v>0x02800</v>
      </c>
    </row>
    <row r="41" spans="3:10">
      <c r="C41" s="79" t="s">
        <v>351</v>
      </c>
      <c r="D41" s="224" t="s">
        <v>498</v>
      </c>
      <c r="E41" s="220">
        <f t="shared" ref="E41" si="26">HEX2DEC(SUBSTITUTE(C42,"0x","")) - HEX2DEC(SUBSTITUTE(C41,"0x",""))+1</f>
        <v>1792</v>
      </c>
      <c r="F41" s="220" t="str">
        <f t="shared" ref="F41" si="27">"0x"&amp;DEC2HEX(E41, 5)</f>
        <v>0x00700</v>
      </c>
      <c r="H41" s="191"/>
      <c r="I41" s="192"/>
      <c r="J41" s="138"/>
    </row>
    <row r="42" spans="3:10">
      <c r="C42" s="79" t="s">
        <v>499</v>
      </c>
      <c r="D42" s="224"/>
      <c r="E42" s="220"/>
      <c r="F42" s="220"/>
    </row>
    <row r="43" spans="3:10">
      <c r="C43" s="79" t="s">
        <v>501</v>
      </c>
      <c r="D43" s="224" t="s">
        <v>500</v>
      </c>
      <c r="E43" s="220">
        <f t="shared" ref="E43" si="28">HEX2DEC(SUBSTITUTE(C44,"0x","")) - HEX2DEC(SUBSTITUTE(C43,"0x",""))+1</f>
        <v>256</v>
      </c>
      <c r="F43" s="220" t="str">
        <f t="shared" ref="F43" si="29">"0x"&amp;DEC2HEX(E43, 5)</f>
        <v>0x00100</v>
      </c>
      <c r="H43" s="208" t="s">
        <v>514</v>
      </c>
      <c r="I43" s="208"/>
      <c r="J43" s="208"/>
    </row>
    <row r="44" spans="3:10">
      <c r="C44" s="79" t="s">
        <v>497</v>
      </c>
      <c r="D44" s="224"/>
      <c r="E44" s="220"/>
      <c r="F44" s="220"/>
      <c r="H44" s="193" t="s">
        <v>490</v>
      </c>
      <c r="I44" s="193" t="s">
        <v>164</v>
      </c>
      <c r="J44" s="193" t="s">
        <v>266</v>
      </c>
    </row>
    <row r="45" spans="3:10">
      <c r="C45" s="79" t="s">
        <v>502</v>
      </c>
      <c r="D45" s="220" t="s">
        <v>264</v>
      </c>
      <c r="E45" s="220">
        <f t="shared" ref="E45" si="30">HEX2DEC(SUBSTITUTE(C46,"0x","")) - HEX2DEC(SUBSTITUTE(C45,"0x",""))+1</f>
        <v>14336</v>
      </c>
      <c r="F45" s="220" t="str">
        <f t="shared" ref="F45" si="31">"0x"&amp;DEC2HEX(E45, 5)</f>
        <v>0x03800</v>
      </c>
      <c r="H45" s="192" t="s">
        <v>242</v>
      </c>
      <c r="I45" s="192">
        <v>256</v>
      </c>
      <c r="J45" s="138" t="str">
        <f t="shared" ref="J45" si="32">"0x"&amp;DEC2HEX(I45, 5)</f>
        <v>0x00100</v>
      </c>
    </row>
    <row r="46" spans="3:10">
      <c r="C46" s="190" t="str">
        <f>"0x"&amp;DEC2HEX(_xlfn.DECIMAL(SUBSTITUTE(C45,"0x",""),16) + I37 - 1)</f>
        <v>0x25FFF</v>
      </c>
      <c r="D46" s="220"/>
      <c r="E46" s="220"/>
      <c r="F46" s="220"/>
      <c r="H46" s="138"/>
      <c r="I46" s="138"/>
      <c r="J46" s="138"/>
    </row>
    <row r="47" spans="3:10">
      <c r="C47" s="79" t="s">
        <v>503</v>
      </c>
      <c r="D47" s="220" t="s">
        <v>504</v>
      </c>
      <c r="E47" s="220">
        <f t="shared" ref="E47" si="33">HEX2DEC(SUBSTITUTE(C48,"0x","")) - HEX2DEC(SUBSTITUTE(C47,"0x",""))+1</f>
        <v>10240</v>
      </c>
      <c r="F47" s="220" t="str">
        <f t="shared" ref="F47" si="34">"0x"&amp;DEC2HEX(E47, 5)</f>
        <v>0x02800</v>
      </c>
      <c r="H47" s="138"/>
      <c r="I47" s="138"/>
      <c r="J47" s="138"/>
    </row>
    <row r="48" spans="3:10">
      <c r="C48" s="190" t="str">
        <f>"0x"&amp;DEC2HEX(_xlfn.DECIMAL(SUBSTITUTE(C47,"0x",""),16) + I40 - 1)</f>
        <v>0x287FF</v>
      </c>
      <c r="D48" s="220"/>
      <c r="E48" s="220"/>
      <c r="F48" s="220"/>
      <c r="H48" s="138"/>
      <c r="I48" s="138"/>
      <c r="J48" s="138"/>
    </row>
    <row r="49" spans="3:10">
      <c r="C49" s="79" t="s">
        <v>505</v>
      </c>
      <c r="D49" s="220" t="s">
        <v>485</v>
      </c>
      <c r="E49" s="220">
        <f t="shared" ref="E49" si="35">HEX2DEC(SUBSTITUTE(C50,"0x","")) - HEX2DEC(SUBSTITUTE(C49,"0x",""))+1</f>
        <v>6144</v>
      </c>
      <c r="F49" s="220" t="str">
        <f t="shared" ref="F49" si="36">"0x"&amp;DEC2HEX(E49, 5)</f>
        <v>0x01800</v>
      </c>
      <c r="H49" s="138"/>
      <c r="I49" s="138"/>
      <c r="J49" s="138"/>
    </row>
    <row r="50" spans="3:10">
      <c r="C50" s="190" t="str">
        <f>"0x"&amp;DEC2HEX(_xlfn.DECIMAL(SUBSTITUTE(C49,"0x",""),16) + I39 - 1)</f>
        <v>0x29FFF</v>
      </c>
      <c r="D50" s="220"/>
      <c r="E50" s="220"/>
      <c r="F50" s="220"/>
    </row>
    <row r="51" spans="3:10">
      <c r="C51" s="79" t="s">
        <v>506</v>
      </c>
      <c r="D51" s="220" t="s">
        <v>263</v>
      </c>
      <c r="E51" s="220">
        <f>HEX2DEC(SUBSTITUTE(C52,"0x","")) - HEX2DEC(SUBSTITUTE(C51,"0x",""))+1</f>
        <v>17584</v>
      </c>
      <c r="F51" s="220" t="str">
        <f t="shared" ref="F51" si="37">"0x"&amp;DEC2HEX(E51, 5)</f>
        <v>0x044B0</v>
      </c>
    </row>
    <row r="52" spans="3:10">
      <c r="C52" s="190" t="str">
        <f>"0x"&amp;DEC2HEX(_xlfn.DECIMAL(SUBSTITUTE(C51,"0x",""),16) + I36 - 1)</f>
        <v>0x2E4AF</v>
      </c>
      <c r="D52" s="220"/>
      <c r="E52" s="220"/>
      <c r="F52" s="220"/>
    </row>
    <row r="53" spans="3:10">
      <c r="C53" s="79" t="s">
        <v>507</v>
      </c>
      <c r="D53" s="220" t="s">
        <v>265</v>
      </c>
      <c r="E53" s="220">
        <f>HEX2DEC(SUBSTITUTE(C54,"0x","")) - HEX2DEC(SUBSTITUTE(C53,"0x",""))+1</f>
        <v>5728</v>
      </c>
      <c r="F53" s="220" t="str">
        <f t="shared" ref="F53" si="38">"0x"&amp;DEC2HEX(E53, 5)</f>
        <v>0x01660</v>
      </c>
    </row>
    <row r="54" spans="3:10">
      <c r="C54" s="190" t="str">
        <f>"0x"&amp;DEC2HEX(_xlfn.DECIMAL(SUBSTITUTE(C53,"0x",""),16) + I38 - 1)</f>
        <v>0x2FE5F</v>
      </c>
      <c r="D54" s="220"/>
      <c r="E54" s="220"/>
      <c r="F54" s="220"/>
    </row>
    <row r="55" spans="3:10">
      <c r="C55" s="79" t="s">
        <v>513</v>
      </c>
      <c r="D55" s="226" t="s">
        <v>516</v>
      </c>
      <c r="E55" s="220">
        <f>HEX2DEC(SUBSTITUTE(C56,"0x","")) - HEX2DEC(SUBSTITUTE(C55,"0x",""))+1</f>
        <v>256</v>
      </c>
      <c r="F55" s="220" t="str">
        <f t="shared" ref="F55" si="39">"0x"&amp;DEC2HEX(E55, 5)</f>
        <v>0x00100</v>
      </c>
    </row>
    <row r="56" spans="3:10">
      <c r="C56" s="190" t="str">
        <f>"0x"&amp;DEC2HEX(_xlfn.DECIMAL(SUBSTITUTE(C55,"0x",""),16) + I45 - 1)</f>
        <v>0x3040F</v>
      </c>
      <c r="D56" s="226"/>
      <c r="E56" s="220"/>
      <c r="F56" s="220"/>
    </row>
    <row r="57" spans="3:10">
      <c r="C57" s="79" t="s">
        <v>471</v>
      </c>
      <c r="D57" s="224" t="s">
        <v>662</v>
      </c>
      <c r="E57" s="220">
        <f t="shared" ref="E57" si="40">HEX2DEC(SUBSTITUTE(C58,"0x","")) - HEX2DEC(SUBSTITUTE(C57,"0x",""))+1</f>
        <v>2048</v>
      </c>
      <c r="F57" s="220" t="str">
        <f t="shared" ref="F57" si="41">"0x"&amp;DEC2HEX(E57, 5)</f>
        <v>0x00800</v>
      </c>
    </row>
    <row r="58" spans="3:10">
      <c r="C58" s="79" t="s">
        <v>508</v>
      </c>
      <c r="D58" s="224"/>
      <c r="E58" s="220"/>
      <c r="F58" s="220"/>
    </row>
    <row r="59" spans="3:10">
      <c r="C59" s="79" t="s">
        <v>474</v>
      </c>
      <c r="D59" s="220" t="s">
        <v>185</v>
      </c>
      <c r="E59" s="220">
        <f t="shared" ref="E59" si="42">HEX2DEC(SUBSTITUTE(C60,"0x","")) - HEX2DEC(SUBSTITUTE(C59,"0x",""))+1</f>
        <v>4</v>
      </c>
      <c r="F59" s="220" t="str">
        <f t="shared" ref="F59" si="43">"0x"&amp;DEC2HEX(E59, 5)</f>
        <v>0x00004</v>
      </c>
    </row>
    <row r="60" spans="3:10">
      <c r="C60" s="79" t="s">
        <v>369</v>
      </c>
      <c r="D60" s="220"/>
      <c r="E60" s="220"/>
      <c r="F60" s="220"/>
    </row>
    <row r="61" spans="3:10">
      <c r="C61" s="79" t="s">
        <v>510</v>
      </c>
      <c r="D61" s="220" t="s">
        <v>509</v>
      </c>
      <c r="E61" s="220">
        <f t="shared" ref="E61" si="44">HEX2DEC(SUBSTITUTE(C62,"0x","")) - HEX2DEC(SUBSTITUTE(C61,"0x",""))+1</f>
        <v>4096</v>
      </c>
      <c r="F61" s="220" t="str">
        <f t="shared" ref="F61" si="45">"0x"&amp;DEC2HEX(E61, 5)</f>
        <v>0x01000</v>
      </c>
    </row>
    <row r="62" spans="3:10">
      <c r="C62" s="79" t="s">
        <v>371</v>
      </c>
      <c r="D62" s="220"/>
      <c r="E62" s="220"/>
      <c r="F62" s="220"/>
    </row>
    <row r="63" spans="3:10">
      <c r="C63" s="79" t="s">
        <v>511</v>
      </c>
      <c r="D63" s="232" t="s">
        <v>581</v>
      </c>
      <c r="E63" s="220">
        <f t="shared" ref="E63" si="46">HEX2DEC(SUBSTITUTE(C64,"0x","")) - HEX2DEC(SUBSTITUTE(C63,"0x",""))+1</f>
        <v>4096</v>
      </c>
      <c r="F63" s="220" t="str">
        <f t="shared" ref="F63" si="47">"0x"&amp;DEC2HEX(E63, 5)</f>
        <v>0x01000</v>
      </c>
    </row>
    <row r="64" spans="3:10">
      <c r="C64" s="79" t="s">
        <v>376</v>
      </c>
      <c r="D64" s="220"/>
      <c r="E64" s="220"/>
      <c r="F64" s="220"/>
    </row>
    <row r="65" spans="3:10">
      <c r="C65" s="79" t="s">
        <v>512</v>
      </c>
      <c r="D65" s="219" t="s">
        <v>261</v>
      </c>
      <c r="E65" s="220">
        <f t="shared" ref="E65" si="48">HEX2DEC(SUBSTITUTE(C66,"0x","")) - HEX2DEC(SUBSTITUTE(C65,"0x",""))+1</f>
        <v>8192</v>
      </c>
      <c r="F65" s="220" t="str">
        <f t="shared" ref="F65" si="49">"0x"&amp;DEC2HEX(E65, 5)</f>
        <v>0x02000</v>
      </c>
      <c r="H65" s="218" t="s">
        <v>483</v>
      </c>
      <c r="I65" s="218">
        <f>HEX2DEC(SUBSTITUTE(C64,"0x","")) - HEX2DEC(SUBSTITUTE(C35,"0x",""))+1</f>
        <v>253952</v>
      </c>
      <c r="J65" s="218" t="str">
        <f>"0x"&amp;DEC2HEX(I65, 5)</f>
        <v>0x3E000</v>
      </c>
    </row>
    <row r="66" spans="3:10">
      <c r="C66" s="79" t="s">
        <v>258</v>
      </c>
      <c r="D66" s="219"/>
      <c r="E66" s="220"/>
      <c r="F66" s="220"/>
      <c r="H66" s="218"/>
      <c r="I66" s="218"/>
      <c r="J66" s="218"/>
    </row>
    <row r="68" spans="3:10">
      <c r="C68" s="225" t="s">
        <v>659</v>
      </c>
      <c r="D68" s="225"/>
      <c r="E68" s="225"/>
      <c r="F68" s="225"/>
    </row>
    <row r="69" spans="3:10">
      <c r="C69" s="80" t="s">
        <v>537</v>
      </c>
      <c r="D69" s="80" t="s">
        <v>163</v>
      </c>
      <c r="E69" s="80" t="s">
        <v>492</v>
      </c>
      <c r="F69" s="80" t="s">
        <v>266</v>
      </c>
      <c r="H69" s="208" t="s">
        <v>484</v>
      </c>
      <c r="I69" s="208"/>
      <c r="J69" s="208"/>
    </row>
    <row r="70" spans="3:10">
      <c r="C70" s="79" t="s">
        <v>165</v>
      </c>
      <c r="D70" s="226" t="s">
        <v>169</v>
      </c>
      <c r="E70" s="220">
        <f>HEX2DEC(SUBSTITUTE(C71,"0x","")) - HEX2DEC(SUBSTITUTE(C70,"0x",""))+1</f>
        <v>256</v>
      </c>
      <c r="F70" s="220" t="str">
        <f>"0x"&amp;DEC2HEX(E70, 5)</f>
        <v>0x00100</v>
      </c>
      <c r="H70" s="193" t="s">
        <v>490</v>
      </c>
      <c r="I70" s="193" t="s">
        <v>164</v>
      </c>
      <c r="J70" s="193" t="s">
        <v>266</v>
      </c>
    </row>
    <row r="71" spans="3:10">
      <c r="C71" s="79" t="s">
        <v>517</v>
      </c>
      <c r="D71" s="226"/>
      <c r="E71" s="220"/>
      <c r="F71" s="220"/>
      <c r="H71" s="138" t="s">
        <v>486</v>
      </c>
      <c r="I71" s="138">
        <v>11728</v>
      </c>
      <c r="J71" s="138" t="str">
        <f>"0x"&amp;DEC2HEX(I71, 5)</f>
        <v>0x02DD0</v>
      </c>
    </row>
    <row r="72" spans="3:10">
      <c r="C72" s="79" t="s">
        <v>339</v>
      </c>
      <c r="D72" s="220" t="s">
        <v>340</v>
      </c>
      <c r="E72" s="220">
        <f t="shared" ref="E72" si="50">HEX2DEC(SUBSTITUTE(C73,"0x","")) - HEX2DEC(SUBSTITUTE(C72,"0x",""))+1</f>
        <v>130560</v>
      </c>
      <c r="F72" s="220" t="str">
        <f t="shared" ref="F72" si="51">"0x"&amp;DEC2HEX(E72, 5)</f>
        <v>0x1FE00</v>
      </c>
      <c r="H72" s="138" t="s">
        <v>487</v>
      </c>
      <c r="I72" s="138">
        <v>11264</v>
      </c>
      <c r="J72" s="138" t="str">
        <f t="shared" ref="J72:J75" si="52">"0x"&amp;DEC2HEX(I72, 5)</f>
        <v>0x02C00</v>
      </c>
    </row>
    <row r="73" spans="3:10">
      <c r="C73" s="79" t="s">
        <v>341</v>
      </c>
      <c r="D73" s="220"/>
      <c r="E73" s="220"/>
      <c r="F73" s="220"/>
      <c r="H73" s="138" t="s">
        <v>488</v>
      </c>
      <c r="I73" s="138">
        <v>5278</v>
      </c>
      <c r="J73" s="138" t="str">
        <f t="shared" si="52"/>
        <v>0x0149E</v>
      </c>
    </row>
    <row r="74" spans="3:10">
      <c r="C74" s="79" t="s">
        <v>343</v>
      </c>
      <c r="D74" s="220" t="s">
        <v>344</v>
      </c>
      <c r="E74" s="220">
        <f t="shared" ref="E74" si="53">HEX2DEC(SUBSTITUTE(C75,"0x","")) - HEX2DEC(SUBSTITUTE(C74,"0x",""))+1</f>
        <v>8192</v>
      </c>
      <c r="F74" s="220" t="str">
        <f t="shared" ref="F74" si="54">"0x"&amp;DEC2HEX(E74, 5)</f>
        <v>0x02000</v>
      </c>
      <c r="H74" s="138" t="s">
        <v>489</v>
      </c>
      <c r="I74" s="138">
        <v>10240</v>
      </c>
      <c r="J74" s="138" t="str">
        <f t="shared" si="52"/>
        <v>0x02800</v>
      </c>
    </row>
    <row r="75" spans="3:10">
      <c r="C75" s="79" t="s">
        <v>348</v>
      </c>
      <c r="D75" s="220"/>
      <c r="E75" s="220"/>
      <c r="F75" s="220"/>
      <c r="H75" s="138" t="s">
        <v>491</v>
      </c>
      <c r="I75" s="138">
        <v>9216</v>
      </c>
      <c r="J75" s="138" t="str">
        <f t="shared" si="52"/>
        <v>0x02400</v>
      </c>
    </row>
    <row r="76" spans="3:10">
      <c r="C76" s="79" t="s">
        <v>351</v>
      </c>
      <c r="D76" s="224" t="s">
        <v>498</v>
      </c>
      <c r="E76" s="220">
        <f>HEX2DEC(SUBSTITUTE(C77,"0x","")) - HEX2DEC(SUBSTITUTE(C76,"0x",""))+1</f>
        <v>1920</v>
      </c>
      <c r="F76" s="220" t="str">
        <f t="shared" ref="F76" si="55">"0x"&amp;DEC2HEX(E76, 5)</f>
        <v>0x00780</v>
      </c>
      <c r="H76" s="191"/>
      <c r="I76" s="192"/>
      <c r="J76" s="138"/>
    </row>
    <row r="77" spans="3:10">
      <c r="C77" s="79" t="s">
        <v>520</v>
      </c>
      <c r="D77" s="224"/>
      <c r="E77" s="220"/>
      <c r="F77" s="220"/>
    </row>
    <row r="78" spans="3:10">
      <c r="C78" s="79" t="s">
        <v>519</v>
      </c>
      <c r="D78" s="224" t="s">
        <v>500</v>
      </c>
      <c r="E78" s="220">
        <f>HEX2DEC(SUBSTITUTE(C79,"0x","")) - HEX2DEC(SUBSTITUTE(C78,"0x",""))+1</f>
        <v>128</v>
      </c>
      <c r="F78" s="220" t="str">
        <f t="shared" ref="F78" si="56">"0x"&amp;DEC2HEX(E78, 5)</f>
        <v>0x00080</v>
      </c>
      <c r="H78" s="208" t="s">
        <v>514</v>
      </c>
      <c r="I78" s="208"/>
      <c r="J78" s="208"/>
    </row>
    <row r="79" spans="3:10">
      <c r="C79" s="79" t="s">
        <v>497</v>
      </c>
      <c r="D79" s="224"/>
      <c r="E79" s="220"/>
      <c r="F79" s="220"/>
      <c r="H79" s="193" t="s">
        <v>490</v>
      </c>
      <c r="I79" s="193" t="s">
        <v>164</v>
      </c>
      <c r="J79" s="193" t="s">
        <v>266</v>
      </c>
    </row>
    <row r="80" spans="3:10">
      <c r="C80" s="79" t="s">
        <v>502</v>
      </c>
      <c r="D80" s="220" t="s">
        <v>264</v>
      </c>
      <c r="E80" s="220">
        <f t="shared" ref="E80" si="57">HEX2DEC(SUBSTITUTE(C81,"0x","")) - HEX2DEC(SUBSTITUTE(C80,"0x",""))+1</f>
        <v>11264</v>
      </c>
      <c r="F80" s="220" t="str">
        <f t="shared" ref="F80" si="58">"0x"&amp;DEC2HEX(E80, 5)</f>
        <v>0x02C00</v>
      </c>
      <c r="H80" s="192" t="s">
        <v>242</v>
      </c>
      <c r="I80" s="192">
        <v>256</v>
      </c>
      <c r="J80" s="138" t="str">
        <f t="shared" ref="J80" si="59">"0x"&amp;DEC2HEX(I80, 5)</f>
        <v>0x00100</v>
      </c>
    </row>
    <row r="81" spans="3:10">
      <c r="C81" s="190" t="str">
        <f>"0x"&amp;DEC2HEX(_xlfn.DECIMAL(SUBSTITUTE(C80,"0x",""),16) + I72 - 1)</f>
        <v>0x253FF</v>
      </c>
      <c r="D81" s="220"/>
      <c r="E81" s="220"/>
      <c r="F81" s="220"/>
      <c r="H81" s="138"/>
      <c r="I81" s="138"/>
      <c r="J81" s="138"/>
    </row>
    <row r="82" spans="3:10">
      <c r="C82" s="79" t="s">
        <v>521</v>
      </c>
      <c r="D82" s="220" t="s">
        <v>504</v>
      </c>
      <c r="E82" s="220">
        <f t="shared" ref="E82" si="60">HEX2DEC(SUBSTITUTE(C83,"0x","")) - HEX2DEC(SUBSTITUTE(C82,"0x",""))+1</f>
        <v>9216</v>
      </c>
      <c r="F82" s="220" t="str">
        <f t="shared" ref="F82" si="61">"0x"&amp;DEC2HEX(E82, 5)</f>
        <v>0x02400</v>
      </c>
      <c r="H82" s="138"/>
      <c r="I82" s="138"/>
      <c r="J82" s="138"/>
    </row>
    <row r="83" spans="3:10">
      <c r="C83" s="190" t="str">
        <f>"0x"&amp;DEC2HEX(_xlfn.DECIMAL(SUBSTITUTE(C82,"0x",""),16) + I75 - 1)</f>
        <v>0x277FF</v>
      </c>
      <c r="D83" s="220"/>
      <c r="E83" s="220"/>
      <c r="F83" s="220"/>
      <c r="H83" s="138"/>
      <c r="I83" s="138"/>
      <c r="J83" s="138"/>
    </row>
    <row r="84" spans="3:10">
      <c r="C84" s="79" t="s">
        <v>522</v>
      </c>
      <c r="D84" s="220" t="s">
        <v>485</v>
      </c>
      <c r="E84" s="220">
        <f t="shared" ref="E84" si="62">HEX2DEC(SUBSTITUTE(C85,"0x","")) - HEX2DEC(SUBSTITUTE(C84,"0x",""))+1</f>
        <v>10240</v>
      </c>
      <c r="F84" s="220" t="str">
        <f t="shared" ref="F84" si="63">"0x"&amp;DEC2HEX(E84, 5)</f>
        <v>0x02800</v>
      </c>
      <c r="H84" s="138"/>
      <c r="I84" s="138"/>
      <c r="J84" s="138"/>
    </row>
    <row r="85" spans="3:10">
      <c r="C85" s="190" t="str">
        <f>"0x"&amp;DEC2HEX(_xlfn.DECIMAL(SUBSTITUTE(C84,"0x",""),16) + I74 - 1)</f>
        <v>0x29FFF</v>
      </c>
      <c r="D85" s="220"/>
      <c r="E85" s="220"/>
      <c r="F85" s="220"/>
    </row>
    <row r="86" spans="3:10">
      <c r="C86" s="79" t="s">
        <v>523</v>
      </c>
      <c r="D86" s="220" t="s">
        <v>263</v>
      </c>
      <c r="E86" s="220">
        <f t="shared" ref="E86" si="64">HEX2DEC(SUBSTITUTE(C87,"0x","")) - HEX2DEC(SUBSTITUTE(C86,"0x",""))+1</f>
        <v>11728</v>
      </c>
      <c r="F86" s="220" t="str">
        <f t="shared" ref="F86" si="65">"0x"&amp;DEC2HEX(E86, 5)</f>
        <v>0x02DD0</v>
      </c>
      <c r="H86" s="208" t="s">
        <v>655</v>
      </c>
      <c r="I86" s="208"/>
      <c r="J86" s="208"/>
    </row>
    <row r="87" spans="3:10">
      <c r="C87" s="190" t="str">
        <f>"0x"&amp;DEC2HEX(_xlfn.DECIMAL(SUBSTITUTE(C86,"0x",""),16) + I71 - 1)</f>
        <v>0x2F5CF</v>
      </c>
      <c r="D87" s="220"/>
      <c r="E87" s="220"/>
      <c r="F87" s="220"/>
      <c r="H87" s="209" t="s">
        <v>490</v>
      </c>
      <c r="I87" s="210"/>
      <c r="J87" s="211"/>
    </row>
    <row r="88" spans="3:10">
      <c r="C88" s="79" t="s">
        <v>524</v>
      </c>
      <c r="D88" s="220" t="s">
        <v>265</v>
      </c>
      <c r="E88" s="220">
        <f t="shared" ref="E88" si="66">HEX2DEC(SUBSTITUTE(C89,"0x","")) - HEX2DEC(SUBSTITUTE(C88,"0x",""))+1</f>
        <v>5278</v>
      </c>
      <c r="F88" s="220" t="str">
        <f t="shared" ref="F88" si="67">"0x"&amp;DEC2HEX(E88, 5)</f>
        <v>0x0149E</v>
      </c>
      <c r="H88" s="212" t="s">
        <v>665</v>
      </c>
      <c r="I88" s="213"/>
      <c r="J88" s="214"/>
    </row>
    <row r="89" spans="3:10">
      <c r="C89" s="190" t="str">
        <f>"0x"&amp;DEC2HEX(_xlfn.DECIMAL(SUBSTITUTE(C88,"0x",""),16) + I73 - 1)</f>
        <v>0x32A6D</v>
      </c>
      <c r="D89" s="220"/>
      <c r="E89" s="220"/>
      <c r="F89" s="220"/>
      <c r="H89" s="215"/>
      <c r="I89" s="216"/>
      <c r="J89" s="217"/>
    </row>
    <row r="90" spans="3:10">
      <c r="C90" s="79" t="s">
        <v>525</v>
      </c>
      <c r="D90" s="226" t="s">
        <v>516</v>
      </c>
      <c r="E90" s="220">
        <f t="shared" ref="E90" si="68">HEX2DEC(SUBSTITUTE(C91,"0x","")) - HEX2DEC(SUBSTITUTE(C90,"0x",""))+1</f>
        <v>256</v>
      </c>
      <c r="F90" s="220" t="str">
        <f t="shared" ref="F90" si="69">"0x"&amp;DEC2HEX(E90, 5)</f>
        <v>0x00100</v>
      </c>
      <c r="H90" s="212" t="s">
        <v>663</v>
      </c>
      <c r="I90" s="213"/>
      <c r="J90" s="214"/>
    </row>
    <row r="91" spans="3:10">
      <c r="C91" s="190" t="str">
        <f>"0x"&amp;DEC2HEX(_xlfn.DECIMAL(SUBSTITUTE(C90,"0x",""),16) + I80 - 1)</f>
        <v>0x32B6F</v>
      </c>
      <c r="D91" s="226"/>
      <c r="E91" s="220"/>
      <c r="F91" s="220"/>
      <c r="H91" s="215"/>
      <c r="I91" s="216"/>
      <c r="J91" s="217"/>
    </row>
    <row r="92" spans="3:10">
      <c r="C92" s="79" t="s">
        <v>362</v>
      </c>
      <c r="D92" s="220" t="s">
        <v>526</v>
      </c>
      <c r="E92" s="220">
        <f t="shared" ref="E92" si="70">HEX2DEC(SUBSTITUTE(C93,"0x","")) - HEX2DEC(SUBSTITUTE(C92,"0x",""))+1</f>
        <v>8192</v>
      </c>
      <c r="F92" s="220" t="str">
        <f t="shared" ref="F92" si="71">"0x"&amp;DEC2HEX(E92, 5)</f>
        <v>0x02000</v>
      </c>
      <c r="H92" s="212" t="s">
        <v>664</v>
      </c>
      <c r="I92" s="213"/>
      <c r="J92" s="214"/>
    </row>
    <row r="93" spans="3:10">
      <c r="C93" s="79" t="s">
        <v>186</v>
      </c>
      <c r="D93" s="220"/>
      <c r="E93" s="220"/>
      <c r="F93" s="220"/>
      <c r="H93" s="215"/>
      <c r="I93" s="216"/>
      <c r="J93" s="217"/>
    </row>
    <row r="94" spans="3:10">
      <c r="C94" s="194" t="s">
        <v>187</v>
      </c>
      <c r="D94" s="229" t="s">
        <v>527</v>
      </c>
      <c r="E94" s="229">
        <f>HEX2DEC(SUBSTITUTE(C95,"0x","")) - HEX2DEC(SUBSTITUTE(C94,"0x",""))+1</f>
        <v>16384</v>
      </c>
      <c r="F94" s="229" t="str">
        <f t="shared" ref="F94" si="72">"0x"&amp;DEC2HEX(E94, 5)</f>
        <v>0x04000</v>
      </c>
    </row>
    <row r="95" spans="3:10" ht="15" customHeight="1">
      <c r="C95" s="194" t="s">
        <v>449</v>
      </c>
      <c r="D95" s="229"/>
      <c r="E95" s="229"/>
      <c r="F95" s="229"/>
    </row>
    <row r="96" spans="3:10">
      <c r="C96" s="79" t="s">
        <v>471</v>
      </c>
      <c r="D96" s="224" t="s">
        <v>662</v>
      </c>
      <c r="E96" s="220">
        <f t="shared" ref="E96" si="73">HEX2DEC(SUBSTITUTE(C97,"0x","")) - HEX2DEC(SUBSTITUTE(C96,"0x",""))+1</f>
        <v>1920</v>
      </c>
      <c r="F96" s="220" t="str">
        <f t="shared" ref="F96" si="74">"0x"&amp;DEC2HEX(E96, 5)</f>
        <v>0x00780</v>
      </c>
    </row>
    <row r="97" spans="3:10">
      <c r="C97" s="79" t="s">
        <v>651</v>
      </c>
      <c r="D97" s="224"/>
      <c r="E97" s="220"/>
      <c r="F97" s="220"/>
    </row>
    <row r="98" spans="3:10">
      <c r="C98" s="79" t="s">
        <v>667</v>
      </c>
      <c r="D98" s="220" t="s">
        <v>185</v>
      </c>
      <c r="E98" s="220">
        <f t="shared" ref="E98" si="75">HEX2DEC(SUBSTITUTE(C99,"0x","")) - HEX2DEC(SUBSTITUTE(C98,"0x",""))+1</f>
        <v>4</v>
      </c>
      <c r="F98" s="220" t="str">
        <f t="shared" ref="F98" si="76">"0x"&amp;DEC2HEX(E98, 5)</f>
        <v>0x00004</v>
      </c>
    </row>
    <row r="99" spans="3:10">
      <c r="C99" s="79" t="s">
        <v>668</v>
      </c>
      <c r="D99" s="220"/>
      <c r="E99" s="220"/>
      <c r="F99" s="220"/>
    </row>
    <row r="100" spans="3:10">
      <c r="C100" s="79" t="s">
        <v>510</v>
      </c>
      <c r="D100" s="220" t="s">
        <v>509</v>
      </c>
      <c r="E100" s="220">
        <f t="shared" ref="E100" si="77">HEX2DEC(SUBSTITUTE(C101,"0x","")) - HEX2DEC(SUBSTITUTE(C100,"0x",""))+1</f>
        <v>4096</v>
      </c>
      <c r="F100" s="220" t="str">
        <f t="shared" ref="F100" si="78">"0x"&amp;DEC2HEX(E100, 5)</f>
        <v>0x01000</v>
      </c>
    </row>
    <row r="101" spans="3:10" ht="15" customHeight="1">
      <c r="C101" s="79" t="s">
        <v>371</v>
      </c>
      <c r="D101" s="220"/>
      <c r="E101" s="220"/>
      <c r="F101" s="220"/>
    </row>
    <row r="102" spans="3:10">
      <c r="C102" s="79" t="s">
        <v>511</v>
      </c>
      <c r="D102" s="232" t="s">
        <v>581</v>
      </c>
      <c r="E102" s="220">
        <f t="shared" ref="E102" si="79">HEX2DEC(SUBSTITUTE(C103,"0x","")) - HEX2DEC(SUBSTITUTE(C102,"0x",""))+1</f>
        <v>4096</v>
      </c>
      <c r="F102" s="220" t="str">
        <f t="shared" ref="F102" si="80">"0x"&amp;DEC2HEX(E102, 5)</f>
        <v>0x01000</v>
      </c>
    </row>
    <row r="103" spans="3:10">
      <c r="C103" s="79" t="s">
        <v>376</v>
      </c>
      <c r="D103" s="220"/>
      <c r="E103" s="220"/>
      <c r="F103" s="220"/>
    </row>
    <row r="104" spans="3:10">
      <c r="C104" s="79" t="s">
        <v>512</v>
      </c>
      <c r="D104" s="219" t="s">
        <v>261</v>
      </c>
      <c r="E104" s="220">
        <f t="shared" ref="E104" si="81">HEX2DEC(SUBSTITUTE(C105,"0x","")) - HEX2DEC(SUBSTITUTE(C104,"0x",""))+1</f>
        <v>8192</v>
      </c>
      <c r="F104" s="220" t="str">
        <f t="shared" ref="F104" si="82">"0x"&amp;DEC2HEX(E104, 5)</f>
        <v>0x02000</v>
      </c>
      <c r="H104" s="233" t="s">
        <v>483</v>
      </c>
      <c r="I104" s="233">
        <f>HEX2DEC(SUBSTITUTE(C103,"0x","")) - HEX2DEC(SUBSTITUTE(C70,"0x",""))+1</f>
        <v>253952</v>
      </c>
      <c r="J104" s="233" t="str">
        <f>"0x"&amp;DEC2HEX(I104, 5)</f>
        <v>0x3E000</v>
      </c>
    </row>
    <row r="105" spans="3:10">
      <c r="C105" s="79" t="s">
        <v>258</v>
      </c>
      <c r="D105" s="219"/>
      <c r="E105" s="220"/>
      <c r="F105" s="220"/>
      <c r="H105" s="234"/>
      <c r="I105" s="234"/>
      <c r="J105" s="234"/>
    </row>
    <row r="107" spans="3:10">
      <c r="C107" s="225" t="s">
        <v>660</v>
      </c>
      <c r="D107" s="225"/>
      <c r="E107" s="225"/>
      <c r="F107" s="225"/>
    </row>
    <row r="108" spans="3:10">
      <c r="C108" s="80" t="s">
        <v>537</v>
      </c>
      <c r="D108" s="80" t="s">
        <v>163</v>
      </c>
      <c r="E108" s="80" t="s">
        <v>492</v>
      </c>
      <c r="F108" s="80" t="s">
        <v>266</v>
      </c>
      <c r="H108" s="208" t="s">
        <v>484</v>
      </c>
      <c r="I108" s="208"/>
      <c r="J108" s="208"/>
    </row>
    <row r="109" spans="3:10">
      <c r="C109" s="79" t="s">
        <v>165</v>
      </c>
      <c r="D109" s="226" t="s">
        <v>169</v>
      </c>
      <c r="E109" s="220">
        <f>HEX2DEC(SUBSTITUTE(C110,"0x","")) - HEX2DEC(SUBSTITUTE(C109,"0x",""))+1</f>
        <v>256</v>
      </c>
      <c r="F109" s="220" t="str">
        <f>"0x"&amp;DEC2HEX(E109, 5)</f>
        <v>0x00100</v>
      </c>
      <c r="H109" s="193" t="s">
        <v>490</v>
      </c>
      <c r="I109" s="193" t="s">
        <v>164</v>
      </c>
      <c r="J109" s="193" t="s">
        <v>266</v>
      </c>
    </row>
    <row r="110" spans="3:10">
      <c r="C110" s="79" t="s">
        <v>517</v>
      </c>
      <c r="D110" s="226"/>
      <c r="E110" s="220"/>
      <c r="F110" s="220"/>
      <c r="H110" s="196" t="s">
        <v>486</v>
      </c>
      <c r="I110" s="196">
        <v>11728</v>
      </c>
      <c r="J110" s="196" t="str">
        <f>"0x"&amp;DEC2HEX(I110, 5)</f>
        <v>0x02DD0</v>
      </c>
    </row>
    <row r="111" spans="3:10">
      <c r="C111" s="79" t="s">
        <v>339</v>
      </c>
      <c r="D111" s="220" t="s">
        <v>340</v>
      </c>
      <c r="E111" s="220">
        <f t="shared" ref="E111" si="83">HEX2DEC(SUBSTITUTE(C112,"0x","")) - HEX2DEC(SUBSTITUTE(C111,"0x",""))+1</f>
        <v>130560</v>
      </c>
      <c r="F111" s="220" t="str">
        <f t="shared" ref="F111" si="84">"0x"&amp;DEC2HEX(E111, 5)</f>
        <v>0x1FE00</v>
      </c>
      <c r="H111" s="196" t="s">
        <v>487</v>
      </c>
      <c r="I111" s="196">
        <v>11264</v>
      </c>
      <c r="J111" s="196" t="str">
        <f t="shared" ref="J111:J114" si="85">"0x"&amp;DEC2HEX(I111, 5)</f>
        <v>0x02C00</v>
      </c>
    </row>
    <row r="112" spans="3:10">
      <c r="C112" s="79" t="s">
        <v>341</v>
      </c>
      <c r="D112" s="220"/>
      <c r="E112" s="220"/>
      <c r="F112" s="220"/>
      <c r="H112" s="196" t="s">
        <v>488</v>
      </c>
      <c r="I112" s="196">
        <v>5728</v>
      </c>
      <c r="J112" s="196" t="str">
        <f t="shared" si="85"/>
        <v>0x01660</v>
      </c>
    </row>
    <row r="113" spans="3:10">
      <c r="C113" s="79" t="s">
        <v>343</v>
      </c>
      <c r="D113" s="220" t="s">
        <v>344</v>
      </c>
      <c r="E113" s="220">
        <f t="shared" ref="E113" si="86">HEX2DEC(SUBSTITUTE(C114,"0x","")) - HEX2DEC(SUBSTITUTE(C113,"0x",""))+1</f>
        <v>8192</v>
      </c>
      <c r="F113" s="220" t="str">
        <f t="shared" ref="F113" si="87">"0x"&amp;DEC2HEX(E113, 5)</f>
        <v>0x02000</v>
      </c>
      <c r="H113" s="196" t="s">
        <v>489</v>
      </c>
      <c r="I113" s="196">
        <v>10240</v>
      </c>
      <c r="J113" s="196" t="str">
        <f t="shared" si="85"/>
        <v>0x02800</v>
      </c>
    </row>
    <row r="114" spans="3:10">
      <c r="C114" s="79" t="s">
        <v>348</v>
      </c>
      <c r="D114" s="220"/>
      <c r="E114" s="220"/>
      <c r="F114" s="220"/>
      <c r="H114" s="196" t="s">
        <v>491</v>
      </c>
      <c r="I114" s="196">
        <v>9216</v>
      </c>
      <c r="J114" s="196" t="str">
        <f t="shared" si="85"/>
        <v>0x02400</v>
      </c>
    </row>
    <row r="115" spans="3:10">
      <c r="C115" s="79" t="s">
        <v>351</v>
      </c>
      <c r="D115" s="224" t="s">
        <v>498</v>
      </c>
      <c r="E115" s="220">
        <f>HEX2DEC(SUBSTITUTE(C116,"0x","")) - HEX2DEC(SUBSTITUTE(C115,"0x",""))+1</f>
        <v>1920</v>
      </c>
      <c r="F115" s="220" t="str">
        <f t="shared" ref="F115" si="88">"0x"&amp;DEC2HEX(E115, 5)</f>
        <v>0x00780</v>
      </c>
      <c r="H115" s="191"/>
      <c r="I115" s="192"/>
      <c r="J115" s="196"/>
    </row>
    <row r="116" spans="3:10">
      <c r="C116" s="79" t="s">
        <v>520</v>
      </c>
      <c r="D116" s="224"/>
      <c r="E116" s="220"/>
      <c r="F116" s="220"/>
    </row>
    <row r="117" spans="3:10">
      <c r="C117" s="79" t="s">
        <v>519</v>
      </c>
      <c r="D117" s="224" t="s">
        <v>500</v>
      </c>
      <c r="E117" s="220">
        <f>HEX2DEC(SUBSTITUTE(C118,"0x","")) - HEX2DEC(SUBSTITUTE(C117,"0x",""))+1</f>
        <v>128</v>
      </c>
      <c r="F117" s="220" t="str">
        <f t="shared" ref="F117" si="89">"0x"&amp;DEC2HEX(E117, 5)</f>
        <v>0x00080</v>
      </c>
      <c r="H117" s="208" t="s">
        <v>514</v>
      </c>
      <c r="I117" s="208"/>
      <c r="J117" s="208"/>
    </row>
    <row r="118" spans="3:10">
      <c r="C118" s="79" t="s">
        <v>497</v>
      </c>
      <c r="D118" s="224"/>
      <c r="E118" s="220"/>
      <c r="F118" s="220"/>
      <c r="H118" s="193" t="s">
        <v>490</v>
      </c>
      <c r="I118" s="193" t="s">
        <v>164</v>
      </c>
      <c r="J118" s="193" t="s">
        <v>266</v>
      </c>
    </row>
    <row r="119" spans="3:10">
      <c r="C119" s="79" t="s">
        <v>502</v>
      </c>
      <c r="D119" s="220" t="s">
        <v>264</v>
      </c>
      <c r="E119" s="220">
        <f t="shared" ref="E119" si="90">HEX2DEC(SUBSTITUTE(C120,"0x","")) - HEX2DEC(SUBSTITUTE(C119,"0x",""))+1</f>
        <v>11264</v>
      </c>
      <c r="F119" s="220" t="str">
        <f t="shared" ref="F119" si="91">"0x"&amp;DEC2HEX(E119, 5)</f>
        <v>0x02C00</v>
      </c>
      <c r="H119" s="192" t="s">
        <v>242</v>
      </c>
      <c r="I119" s="192">
        <v>256</v>
      </c>
      <c r="J119" s="196" t="str">
        <f t="shared" ref="J119" si="92">"0x"&amp;DEC2HEX(I119, 5)</f>
        <v>0x00100</v>
      </c>
    </row>
    <row r="120" spans="3:10">
      <c r="C120" s="190" t="str">
        <f>"0x"&amp;DEC2HEX(_xlfn.DECIMAL(SUBSTITUTE(C119,"0x",""),16) + I111 - 1)</f>
        <v>0x253FF</v>
      </c>
      <c r="D120" s="220"/>
      <c r="E120" s="220"/>
      <c r="F120" s="220"/>
      <c r="H120" s="196"/>
      <c r="I120" s="196"/>
      <c r="J120" s="196"/>
    </row>
    <row r="121" spans="3:10">
      <c r="C121" s="79" t="s">
        <v>521</v>
      </c>
      <c r="D121" s="220" t="s">
        <v>504</v>
      </c>
      <c r="E121" s="220">
        <f t="shared" ref="E121" si="93">HEX2DEC(SUBSTITUTE(C122,"0x","")) - HEX2DEC(SUBSTITUTE(C121,"0x",""))+1</f>
        <v>9216</v>
      </c>
      <c r="F121" s="220" t="str">
        <f t="shared" ref="F121" si="94">"0x"&amp;DEC2HEX(E121, 5)</f>
        <v>0x02400</v>
      </c>
      <c r="H121" s="196"/>
      <c r="I121" s="196"/>
      <c r="J121" s="196"/>
    </row>
    <row r="122" spans="3:10">
      <c r="C122" s="190" t="str">
        <f>"0x"&amp;DEC2HEX(_xlfn.DECIMAL(SUBSTITUTE(C121,"0x",""),16) + I114 - 1)</f>
        <v>0x277FF</v>
      </c>
      <c r="D122" s="220"/>
      <c r="E122" s="220"/>
      <c r="F122" s="220"/>
      <c r="H122" s="196"/>
      <c r="I122" s="196"/>
      <c r="J122" s="196"/>
    </row>
    <row r="123" spans="3:10">
      <c r="C123" s="79" t="s">
        <v>522</v>
      </c>
      <c r="D123" s="220" t="s">
        <v>485</v>
      </c>
      <c r="E123" s="220">
        <f t="shared" ref="E123" si="95">HEX2DEC(SUBSTITUTE(C124,"0x","")) - HEX2DEC(SUBSTITUTE(C123,"0x",""))+1</f>
        <v>10240</v>
      </c>
      <c r="F123" s="220" t="str">
        <f t="shared" ref="F123" si="96">"0x"&amp;DEC2HEX(E123, 5)</f>
        <v>0x02800</v>
      </c>
      <c r="H123" s="196"/>
      <c r="I123" s="196"/>
      <c r="J123" s="196"/>
    </row>
    <row r="124" spans="3:10">
      <c r="C124" s="190" t="str">
        <f>"0x"&amp;DEC2HEX(_xlfn.DECIMAL(SUBSTITUTE(C123,"0x",""),16) + I113 - 1)</f>
        <v>0x29FFF</v>
      </c>
      <c r="D124" s="220"/>
      <c r="E124" s="220"/>
      <c r="F124" s="220"/>
    </row>
    <row r="125" spans="3:10">
      <c r="C125" s="79" t="s">
        <v>523</v>
      </c>
      <c r="D125" s="220" t="s">
        <v>263</v>
      </c>
      <c r="E125" s="220">
        <f t="shared" ref="E125" si="97">HEX2DEC(SUBSTITUTE(C126,"0x","")) - HEX2DEC(SUBSTITUTE(C125,"0x",""))+1</f>
        <v>11728</v>
      </c>
      <c r="F125" s="220" t="str">
        <f t="shared" ref="F125" si="98">"0x"&amp;DEC2HEX(E125, 5)</f>
        <v>0x02DD0</v>
      </c>
    </row>
    <row r="126" spans="3:10">
      <c r="C126" s="190" t="str">
        <f>"0x"&amp;DEC2HEX(_xlfn.DECIMAL(SUBSTITUTE(C125,"0x",""),16) + I110 - 1)</f>
        <v>0x2F5CF</v>
      </c>
      <c r="D126" s="220"/>
      <c r="E126" s="220"/>
      <c r="F126" s="220"/>
    </row>
    <row r="127" spans="3:10">
      <c r="C127" s="79" t="s">
        <v>524</v>
      </c>
      <c r="D127" s="220" t="s">
        <v>265</v>
      </c>
      <c r="E127" s="220">
        <f t="shared" ref="E127" si="99">HEX2DEC(SUBSTITUTE(C128,"0x","")) - HEX2DEC(SUBSTITUTE(C127,"0x",""))+1</f>
        <v>5728</v>
      </c>
      <c r="F127" s="220" t="str">
        <f t="shared" ref="F127" si="100">"0x"&amp;DEC2HEX(E127, 5)</f>
        <v>0x01660</v>
      </c>
    </row>
    <row r="128" spans="3:10">
      <c r="C128" s="190" t="str">
        <f>"0x"&amp;DEC2HEX(_xlfn.DECIMAL(SUBSTITUTE(C127,"0x",""),16) + I112 - 1)</f>
        <v>0x32C2F</v>
      </c>
      <c r="D128" s="220"/>
      <c r="E128" s="220"/>
      <c r="F128" s="220"/>
    </row>
    <row r="129" spans="3:10">
      <c r="C129" s="79" t="s">
        <v>653</v>
      </c>
      <c r="D129" s="226" t="s">
        <v>516</v>
      </c>
      <c r="E129" s="220">
        <f t="shared" ref="E129" si="101">HEX2DEC(SUBSTITUTE(C130,"0x","")) - HEX2DEC(SUBSTITUTE(C129,"0x",""))+1</f>
        <v>256</v>
      </c>
      <c r="F129" s="220" t="str">
        <f t="shared" ref="F129" si="102">"0x"&amp;DEC2HEX(E129, 5)</f>
        <v>0x00100</v>
      </c>
    </row>
    <row r="130" spans="3:10">
      <c r="C130" s="190" t="str">
        <f>"0x"&amp;DEC2HEX(_xlfn.DECIMAL(SUBSTITUTE(C129,"0x",""),16) + I119 - 1)</f>
        <v>0x3304F</v>
      </c>
      <c r="D130" s="226"/>
      <c r="E130" s="220"/>
      <c r="F130" s="220"/>
    </row>
    <row r="131" spans="3:10">
      <c r="C131" s="79" t="s">
        <v>362</v>
      </c>
      <c r="D131" s="220" t="s">
        <v>526</v>
      </c>
      <c r="E131" s="220">
        <f t="shared" ref="E131" si="103">HEX2DEC(SUBSTITUTE(C132,"0x","")) - HEX2DEC(SUBSTITUTE(C131,"0x",""))+1</f>
        <v>8192</v>
      </c>
      <c r="F131" s="220" t="str">
        <f t="shared" ref="F131" si="104">"0x"&amp;DEC2HEX(E131, 5)</f>
        <v>0x02000</v>
      </c>
    </row>
    <row r="132" spans="3:10">
      <c r="C132" s="79" t="s">
        <v>186</v>
      </c>
      <c r="D132" s="220"/>
      <c r="E132" s="220"/>
      <c r="F132" s="220"/>
    </row>
    <row r="133" spans="3:10">
      <c r="C133" s="194" t="s">
        <v>187</v>
      </c>
      <c r="D133" s="229" t="s">
        <v>527</v>
      </c>
      <c r="E133" s="229">
        <f>HEX2DEC(SUBSTITUTE(C134,"0x","")) - HEX2DEC(SUBSTITUTE(C133,"0x",""))+1</f>
        <v>16384</v>
      </c>
      <c r="F133" s="229" t="str">
        <f t="shared" ref="F133" si="105">"0x"&amp;DEC2HEX(E133, 5)</f>
        <v>0x04000</v>
      </c>
    </row>
    <row r="134" spans="3:10">
      <c r="C134" s="194" t="s">
        <v>449</v>
      </c>
      <c r="D134" s="229"/>
      <c r="E134" s="229"/>
      <c r="F134" s="229"/>
    </row>
    <row r="135" spans="3:10">
      <c r="C135" s="79" t="s">
        <v>471</v>
      </c>
      <c r="D135" s="224" t="s">
        <v>662</v>
      </c>
      <c r="E135" s="220">
        <f>HEX2DEC(SUBSTITUTE(C136,"0x","")) - HEX2DEC(SUBSTITUTE(C135,"0x",""))+1</f>
        <v>2048</v>
      </c>
      <c r="F135" s="220" t="str">
        <f t="shared" ref="F135" si="106">"0x"&amp;DEC2HEX(E135, 5)</f>
        <v>0x00800</v>
      </c>
    </row>
    <row r="136" spans="3:10">
      <c r="C136" s="79" t="s">
        <v>661</v>
      </c>
      <c r="D136" s="224"/>
      <c r="E136" s="220"/>
      <c r="F136" s="220"/>
    </row>
    <row r="137" spans="3:10">
      <c r="C137" s="79" t="s">
        <v>357</v>
      </c>
      <c r="D137" s="220" t="s">
        <v>185</v>
      </c>
      <c r="E137" s="220">
        <f t="shared" ref="E137" si="107">HEX2DEC(SUBSTITUTE(C138,"0x","")) - HEX2DEC(SUBSTITUTE(C137,"0x",""))+1</f>
        <v>4</v>
      </c>
      <c r="F137" s="220" t="str">
        <f t="shared" ref="F137" si="108">"0x"&amp;DEC2HEX(E137, 5)</f>
        <v>0x00004</v>
      </c>
    </row>
    <row r="138" spans="3:10">
      <c r="C138" s="79" t="s">
        <v>359</v>
      </c>
      <c r="D138" s="220"/>
      <c r="E138" s="220"/>
      <c r="F138" s="220"/>
    </row>
    <row r="139" spans="3:10">
      <c r="C139" s="79" t="s">
        <v>510</v>
      </c>
      <c r="D139" s="220" t="s">
        <v>509</v>
      </c>
      <c r="E139" s="220">
        <f t="shared" ref="E139" si="109">HEX2DEC(SUBSTITUTE(C140,"0x","")) - HEX2DEC(SUBSTITUTE(C139,"0x",""))+1</f>
        <v>4096</v>
      </c>
      <c r="F139" s="220" t="str">
        <f t="shared" ref="F139" si="110">"0x"&amp;DEC2HEX(E139, 5)</f>
        <v>0x01000</v>
      </c>
    </row>
    <row r="140" spans="3:10" ht="15" customHeight="1">
      <c r="C140" s="79" t="s">
        <v>371</v>
      </c>
      <c r="D140" s="220"/>
      <c r="E140" s="220"/>
      <c r="F140" s="220"/>
    </row>
    <row r="141" spans="3:10">
      <c r="C141" s="79" t="s">
        <v>511</v>
      </c>
      <c r="D141" s="232" t="s">
        <v>581</v>
      </c>
      <c r="E141" s="220">
        <f t="shared" ref="E141" si="111">HEX2DEC(SUBSTITUTE(C142,"0x","")) - HEX2DEC(SUBSTITUTE(C141,"0x",""))+1</f>
        <v>4096</v>
      </c>
      <c r="F141" s="220" t="str">
        <f t="shared" ref="F141" si="112">"0x"&amp;DEC2HEX(E141, 5)</f>
        <v>0x01000</v>
      </c>
    </row>
    <row r="142" spans="3:10">
      <c r="C142" s="79" t="s">
        <v>376</v>
      </c>
      <c r="D142" s="220"/>
      <c r="E142" s="220"/>
      <c r="F142" s="220"/>
    </row>
    <row r="143" spans="3:10">
      <c r="C143" s="79" t="s">
        <v>512</v>
      </c>
      <c r="D143" s="219" t="s">
        <v>261</v>
      </c>
      <c r="E143" s="220">
        <f t="shared" ref="E143" si="113">HEX2DEC(SUBSTITUTE(C144,"0x","")) - HEX2DEC(SUBSTITUTE(C143,"0x",""))+1</f>
        <v>8192</v>
      </c>
      <c r="F143" s="220" t="str">
        <f t="shared" ref="F143" si="114">"0x"&amp;DEC2HEX(E143, 5)</f>
        <v>0x02000</v>
      </c>
      <c r="H143" s="233" t="s">
        <v>483</v>
      </c>
      <c r="I143" s="233">
        <f>HEX2DEC(SUBSTITUTE(C142,"0x","")) - HEX2DEC(SUBSTITUTE(C109,"0x",""))+1</f>
        <v>253952</v>
      </c>
      <c r="J143" s="233" t="str">
        <f>"0x"&amp;DEC2HEX(I143, 5)</f>
        <v>0x3E000</v>
      </c>
    </row>
    <row r="144" spans="3:10">
      <c r="C144" s="79" t="s">
        <v>258</v>
      </c>
      <c r="D144" s="219"/>
      <c r="E144" s="220"/>
      <c r="F144" s="220"/>
      <c r="H144" s="234"/>
      <c r="I144" s="234"/>
      <c r="J144" s="234"/>
    </row>
    <row r="146" spans="3:10">
      <c r="C146" s="225" t="s">
        <v>564</v>
      </c>
      <c r="D146" s="225"/>
      <c r="E146" s="225"/>
      <c r="F146" s="225"/>
    </row>
    <row r="147" spans="3:10">
      <c r="C147" s="80" t="s">
        <v>537</v>
      </c>
      <c r="D147" s="80" t="s">
        <v>163</v>
      </c>
      <c r="E147" s="80" t="s">
        <v>492</v>
      </c>
      <c r="F147" s="80" t="s">
        <v>266</v>
      </c>
      <c r="H147" s="208" t="s">
        <v>484</v>
      </c>
      <c r="I147" s="208"/>
      <c r="J147" s="208"/>
    </row>
    <row r="148" spans="3:10">
      <c r="C148" s="194" t="s">
        <v>165</v>
      </c>
      <c r="D148" s="229" t="s">
        <v>528</v>
      </c>
      <c r="E148" s="229">
        <f>HEX2DEC(SUBSTITUTE(C149,"0x","")) - HEX2DEC(SUBSTITUTE(C148,"0x",""))+1</f>
        <v>512</v>
      </c>
      <c r="F148" s="229" t="str">
        <f>"0x"&amp;DEC2HEX(E148, 5)</f>
        <v>0x00200</v>
      </c>
      <c r="H148" s="193" t="s">
        <v>490</v>
      </c>
      <c r="I148" s="193" t="s">
        <v>164</v>
      </c>
      <c r="J148" s="193" t="s">
        <v>266</v>
      </c>
    </row>
    <row r="149" spans="3:10">
      <c r="C149" s="194" t="s">
        <v>496</v>
      </c>
      <c r="D149" s="229"/>
      <c r="E149" s="229"/>
      <c r="F149" s="229"/>
      <c r="H149" s="138" t="s">
        <v>486</v>
      </c>
      <c r="I149" s="138">
        <v>4048</v>
      </c>
      <c r="J149" s="138" t="str">
        <f>"0x"&amp;DEC2HEX(I149, 5)</f>
        <v>0x00FD0</v>
      </c>
    </row>
    <row r="150" spans="3:10">
      <c r="C150" s="79" t="s">
        <v>339</v>
      </c>
      <c r="D150" s="226" t="s">
        <v>529</v>
      </c>
      <c r="E150" s="220">
        <f t="shared" ref="E150" si="115">HEX2DEC(SUBSTITUTE(C151,"0x","")) - HEX2DEC(SUBSTITUTE(C150,"0x",""))+1</f>
        <v>32</v>
      </c>
      <c r="F150" s="220" t="str">
        <f t="shared" ref="F150" si="116">"0x"&amp;DEC2HEX(E150, 5)</f>
        <v>0x00020</v>
      </c>
      <c r="H150" s="138" t="s">
        <v>487</v>
      </c>
      <c r="I150" s="138">
        <f>12 * 1024</f>
        <v>12288</v>
      </c>
      <c r="J150" s="138" t="str">
        <f t="shared" ref="J150:J153" si="117">"0x"&amp;DEC2HEX(I150, 5)</f>
        <v>0x03000</v>
      </c>
    </row>
    <row r="151" spans="3:10">
      <c r="C151" s="79" t="s">
        <v>530</v>
      </c>
      <c r="D151" s="226"/>
      <c r="E151" s="220"/>
      <c r="F151" s="220"/>
      <c r="H151" s="138" t="s">
        <v>488</v>
      </c>
      <c r="I151" s="138">
        <v>5728</v>
      </c>
      <c r="J151" s="138" t="str">
        <f t="shared" si="117"/>
        <v>0x01660</v>
      </c>
    </row>
    <row r="152" spans="3:10">
      <c r="C152" s="79" t="s">
        <v>427</v>
      </c>
      <c r="D152" s="220" t="s">
        <v>532</v>
      </c>
      <c r="E152" s="220">
        <f t="shared" ref="E152" si="118">HEX2DEC(SUBSTITUTE(C153,"0x","")) - HEX2DEC(SUBSTITUTE(C152,"0x",""))+1</f>
        <v>576</v>
      </c>
      <c r="F152" s="220" t="str">
        <f t="shared" ref="F152" si="119">"0x"&amp;DEC2HEX(E152, 5)</f>
        <v>0x00240</v>
      </c>
      <c r="H152" s="138" t="s">
        <v>489</v>
      </c>
      <c r="I152" s="138">
        <f>5 * 1024</f>
        <v>5120</v>
      </c>
      <c r="J152" s="138" t="str">
        <f t="shared" si="117"/>
        <v>0x01400</v>
      </c>
    </row>
    <row r="153" spans="3:10">
      <c r="C153" s="190" t="str">
        <f>"0x00"&amp;DEC2HEX(_xlfn.DECIMAL(SUBSTITUTE(C152,"0x",""),16) + I158 - 1)</f>
        <v>0x0045F</v>
      </c>
      <c r="D153" s="220"/>
      <c r="E153" s="220"/>
      <c r="F153" s="220"/>
      <c r="H153" s="138" t="s">
        <v>491</v>
      </c>
      <c r="I153" s="138">
        <f>9*1024</f>
        <v>9216</v>
      </c>
      <c r="J153" s="138" t="str">
        <f t="shared" si="117"/>
        <v>0x02400</v>
      </c>
    </row>
    <row r="154" spans="3:10">
      <c r="C154" s="79" t="s">
        <v>440</v>
      </c>
      <c r="D154" s="220" t="s">
        <v>340</v>
      </c>
      <c r="E154" s="220">
        <f t="shared" ref="E154" si="120">HEX2DEC(SUBSTITUTE(C155,"0x","")) - HEX2DEC(SUBSTITUTE(C154,"0x",""))+1</f>
        <v>86944</v>
      </c>
      <c r="F154" s="220" t="str">
        <f t="shared" ref="F154" si="121">"0x"&amp;DEC2HEX(E154, 5)</f>
        <v>0x153A0</v>
      </c>
      <c r="H154" s="191"/>
      <c r="I154" s="192"/>
      <c r="J154" s="138"/>
    </row>
    <row r="155" spans="3:10">
      <c r="C155" s="79" t="s">
        <v>441</v>
      </c>
      <c r="D155" s="220"/>
      <c r="E155" s="220"/>
      <c r="F155" s="220"/>
    </row>
    <row r="156" spans="3:10">
      <c r="C156" s="79" t="s">
        <v>443</v>
      </c>
      <c r="D156" s="224" t="s">
        <v>498</v>
      </c>
      <c r="E156" s="220">
        <f>HEX2DEC(SUBSTITUTE(C157,"0x","")) - HEX2DEC(SUBSTITUTE(C156,"0x",""))+1</f>
        <v>1792</v>
      </c>
      <c r="F156" s="220" t="str">
        <f t="shared" ref="F156" si="122">"0x"&amp;DEC2HEX(E156, 5)</f>
        <v>0x00700</v>
      </c>
      <c r="H156" s="208" t="s">
        <v>514</v>
      </c>
      <c r="I156" s="208"/>
      <c r="J156" s="208"/>
    </row>
    <row r="157" spans="3:10">
      <c r="C157" s="79" t="s">
        <v>635</v>
      </c>
      <c r="D157" s="224"/>
      <c r="E157" s="220"/>
      <c r="F157" s="220"/>
      <c r="H157" s="193" t="s">
        <v>490</v>
      </c>
      <c r="I157" s="193" t="s">
        <v>164</v>
      </c>
      <c r="J157" s="193" t="s">
        <v>266</v>
      </c>
    </row>
    <row r="158" spans="3:10">
      <c r="C158" s="79" t="s">
        <v>638</v>
      </c>
      <c r="D158" s="224" t="s">
        <v>636</v>
      </c>
      <c r="E158" s="220">
        <f>HEX2DEC(SUBSTITUTE(C159,"0x","")) - HEX2DEC(SUBSTITUTE(C158,"0x",""))+1</f>
        <v>64</v>
      </c>
      <c r="F158" s="220" t="str">
        <f t="shared" ref="F158" si="123">"0x"&amp;DEC2HEX(E158, 5)</f>
        <v>0x00040</v>
      </c>
      <c r="H158" s="192" t="s">
        <v>531</v>
      </c>
      <c r="I158" s="192">
        <f xml:space="preserve"> 4 * 48 * 3</f>
        <v>576</v>
      </c>
      <c r="J158" s="138" t="str">
        <f t="shared" ref="J158:J160" si="124">"0x"&amp;DEC2HEX(I158, 5)</f>
        <v>0x00240</v>
      </c>
    </row>
    <row r="159" spans="3:10">
      <c r="C159" s="79" t="s">
        <v>639</v>
      </c>
      <c r="D159" s="224"/>
      <c r="E159" s="220"/>
      <c r="F159" s="220"/>
      <c r="H159" s="192" t="s">
        <v>242</v>
      </c>
      <c r="I159" s="192">
        <v>400</v>
      </c>
      <c r="J159" s="138" t="str">
        <f t="shared" si="124"/>
        <v>0x00190</v>
      </c>
    </row>
    <row r="160" spans="3:10">
      <c r="C160" s="79" t="s">
        <v>640</v>
      </c>
      <c r="D160" s="224" t="s">
        <v>637</v>
      </c>
      <c r="E160" s="220">
        <f>HEX2DEC(SUBSTITUTE(C161,"0x","")) - HEX2DEC(SUBSTITUTE(C160,"0x",""))+1</f>
        <v>192</v>
      </c>
      <c r="F160" s="220" t="str">
        <f t="shared" ref="F160" si="125">"0x"&amp;DEC2HEX(E160, 5)</f>
        <v>0x000C0</v>
      </c>
      <c r="H160" s="138" t="s">
        <v>646</v>
      </c>
      <c r="I160" s="138">
        <v>1120</v>
      </c>
      <c r="J160" s="138" t="str">
        <f t="shared" si="124"/>
        <v>0x00460</v>
      </c>
    </row>
    <row r="161" spans="3:10">
      <c r="C161" s="79" t="s">
        <v>534</v>
      </c>
      <c r="D161" s="224"/>
      <c r="E161" s="220"/>
      <c r="F161" s="220"/>
      <c r="H161" s="138"/>
      <c r="I161" s="138"/>
      <c r="J161" s="138"/>
    </row>
    <row r="162" spans="3:10">
      <c r="C162" s="79" t="s">
        <v>533</v>
      </c>
      <c r="D162" s="220" t="s">
        <v>542</v>
      </c>
      <c r="E162" s="220">
        <f t="shared" ref="E162" si="126">HEX2DEC(SUBSTITUTE(C163,"0x","")) - HEX2DEC(SUBSTITUTE(C162,"0x",""))+1</f>
        <v>4048</v>
      </c>
      <c r="F162" s="220" t="str">
        <f t="shared" ref="F162" si="127">"0x"&amp;DEC2HEX(E162, 5)</f>
        <v>0x00FD0</v>
      </c>
      <c r="H162" s="138"/>
      <c r="I162" s="138"/>
      <c r="J162" s="138"/>
    </row>
    <row r="163" spans="3:10">
      <c r="C163" s="190" t="str">
        <f>"0x"&amp;DEC2HEX(_xlfn.DECIMAL(SUBSTITUTE(C162,"0x",""),16) + I149 - 1)</f>
        <v>0x177CF</v>
      </c>
      <c r="D163" s="220"/>
      <c r="E163" s="220"/>
      <c r="F163" s="220"/>
    </row>
    <row r="164" spans="3:10">
      <c r="C164" s="79" t="s">
        <v>535</v>
      </c>
      <c r="D164" s="220" t="s">
        <v>543</v>
      </c>
      <c r="E164" s="220">
        <f t="shared" ref="E164" si="128">HEX2DEC(SUBSTITUTE(C165,"0x","")) - HEX2DEC(SUBSTITUTE(C164,"0x",""))+1</f>
        <v>12288</v>
      </c>
      <c r="F164" s="220" t="str">
        <f t="shared" ref="F164" si="129">"0x"&amp;DEC2HEX(E164, 5)</f>
        <v>0x03000</v>
      </c>
    </row>
    <row r="165" spans="3:10">
      <c r="C165" s="190" t="str">
        <f>"0x"&amp;DEC2HEX(_xlfn.DECIMAL(SUBSTITUTE(C164,"0x",""),16) + I150 - 1)</f>
        <v>0x1A7CF</v>
      </c>
      <c r="D165" s="220"/>
      <c r="E165" s="220"/>
      <c r="F165" s="220"/>
    </row>
    <row r="166" spans="3:10">
      <c r="C166" s="79" t="s">
        <v>536</v>
      </c>
      <c r="D166" s="220" t="s">
        <v>544</v>
      </c>
      <c r="E166" s="220">
        <f t="shared" ref="E166" si="130">HEX2DEC(SUBSTITUTE(C167,"0x","")) - HEX2DEC(SUBSTITUTE(C166,"0x",""))+1</f>
        <v>9216</v>
      </c>
      <c r="F166" s="220" t="str">
        <f t="shared" ref="F166" si="131">"0x"&amp;DEC2HEX(E166, 5)</f>
        <v>0x02400</v>
      </c>
    </row>
    <row r="167" spans="3:10">
      <c r="C167" s="190" t="str">
        <f>"0x"&amp;DEC2HEX(_xlfn.DECIMAL(SUBSTITUTE(C166,"0x",""),16) + I153 - 1)</f>
        <v>0x1CBCF</v>
      </c>
      <c r="D167" s="220"/>
      <c r="E167" s="220"/>
      <c r="F167" s="220"/>
    </row>
    <row r="168" spans="3:10">
      <c r="C168" s="79" t="s">
        <v>538</v>
      </c>
      <c r="D168" s="220" t="s">
        <v>545</v>
      </c>
      <c r="E168" s="220">
        <f t="shared" ref="E168" si="132">HEX2DEC(SUBSTITUTE(C169,"0x","")) - HEX2DEC(SUBSTITUTE(C168,"0x",""))+1</f>
        <v>5728</v>
      </c>
      <c r="F168" s="220" t="str">
        <f t="shared" ref="F168" si="133">"0x"&amp;DEC2HEX(E168, 5)</f>
        <v>0x01660</v>
      </c>
    </row>
    <row r="169" spans="3:10">
      <c r="C169" s="190" t="str">
        <f>"0x"&amp;DEC2HEX(_xlfn.DECIMAL(SUBSTITUTE(C168,"0x",""),16) + I151 - 1)</f>
        <v>0x1E22F</v>
      </c>
      <c r="D169" s="220"/>
      <c r="E169" s="220"/>
      <c r="F169" s="220"/>
    </row>
    <row r="170" spans="3:10">
      <c r="C170" s="79" t="s">
        <v>539</v>
      </c>
      <c r="D170" s="226" t="s">
        <v>546</v>
      </c>
      <c r="E170" s="220">
        <f t="shared" ref="E170" si="134">HEX2DEC(SUBSTITUTE(C171,"0x","")) - HEX2DEC(SUBSTITUTE(C170,"0x",""))+1</f>
        <v>400</v>
      </c>
      <c r="F170" s="220" t="str">
        <f t="shared" ref="F170" si="135">"0x"&amp;DEC2HEX(E170, 5)</f>
        <v>0x00190</v>
      </c>
    </row>
    <row r="171" spans="3:10">
      <c r="C171" s="190" t="str">
        <f>"0x"&amp;DEC2HEX(_xlfn.DECIMAL(SUBSTITUTE(C170,"0x",""),16) + I159 - 1)</f>
        <v>0x1E3BF</v>
      </c>
      <c r="D171" s="226"/>
      <c r="E171" s="220"/>
      <c r="F171" s="220"/>
    </row>
    <row r="172" spans="3:10">
      <c r="C172" s="79" t="s">
        <v>540</v>
      </c>
      <c r="D172" s="220" t="s">
        <v>541</v>
      </c>
      <c r="E172" s="220">
        <f t="shared" ref="E172" si="136">HEX2DEC(SUBSTITUTE(C173,"0x","")) - HEX2DEC(SUBSTITUTE(C172,"0x",""))+1</f>
        <v>4048</v>
      </c>
      <c r="F172" s="220" t="str">
        <f t="shared" ref="F172" si="137">"0x"&amp;DEC2HEX(E172, 5)</f>
        <v>0x00FD0</v>
      </c>
    </row>
    <row r="173" spans="3:10">
      <c r="C173" s="190" t="str">
        <f>"0x"&amp;DEC2HEX(_xlfn.DECIMAL(SUBSTITUTE(C172,"0x",""),16) + I149 - 1)</f>
        <v>0x207CF</v>
      </c>
      <c r="D173" s="220"/>
      <c r="E173" s="220"/>
      <c r="F173" s="220"/>
    </row>
    <row r="174" spans="3:10">
      <c r="C174" s="79" t="s">
        <v>551</v>
      </c>
      <c r="D174" s="220" t="s">
        <v>547</v>
      </c>
      <c r="E174" s="220">
        <f t="shared" ref="E174" si="138">HEX2DEC(SUBSTITUTE(C175,"0x","")) - HEX2DEC(SUBSTITUTE(C174,"0x",""))+1</f>
        <v>12288</v>
      </c>
      <c r="F174" s="220" t="str">
        <f t="shared" ref="F174" si="139">"0x"&amp;DEC2HEX(E174, 5)</f>
        <v>0x03000</v>
      </c>
    </row>
    <row r="175" spans="3:10">
      <c r="C175" s="190" t="str">
        <f>"0x"&amp;DEC2HEX(_xlfn.DECIMAL(SUBSTITUTE(C174,"0x",""),16) + I150 - 1)</f>
        <v>0x237CF</v>
      </c>
      <c r="D175" s="220"/>
      <c r="E175" s="220"/>
      <c r="F175" s="220"/>
    </row>
    <row r="176" spans="3:10">
      <c r="C176" s="79" t="s">
        <v>552</v>
      </c>
      <c r="D176" s="220" t="s">
        <v>548</v>
      </c>
      <c r="E176" s="220">
        <f t="shared" ref="E176" si="140">HEX2DEC(SUBSTITUTE(C177,"0x","")) - HEX2DEC(SUBSTITUTE(C176,"0x",""))+1</f>
        <v>9216</v>
      </c>
      <c r="F176" s="220" t="str">
        <f t="shared" ref="F176" si="141">"0x"&amp;DEC2HEX(E176, 5)</f>
        <v>0x02400</v>
      </c>
    </row>
    <row r="177" spans="3:6">
      <c r="C177" s="190" t="str">
        <f>"0x"&amp;DEC2HEX(_xlfn.DECIMAL(SUBSTITUTE(C176,"0x",""),16) + I153 - 1)</f>
        <v>0x25BCF</v>
      </c>
      <c r="D177" s="220"/>
      <c r="E177" s="220"/>
      <c r="F177" s="220"/>
    </row>
    <row r="178" spans="3:6">
      <c r="C178" s="79" t="s">
        <v>553</v>
      </c>
      <c r="D178" s="220" t="s">
        <v>549</v>
      </c>
      <c r="E178" s="220">
        <f t="shared" ref="E178" si="142">HEX2DEC(SUBSTITUTE(C179,"0x","")) - HEX2DEC(SUBSTITUTE(C178,"0x",""))+1</f>
        <v>5728</v>
      </c>
      <c r="F178" s="220" t="str">
        <f t="shared" ref="F178" si="143">"0x"&amp;DEC2HEX(E178, 5)</f>
        <v>0x01660</v>
      </c>
    </row>
    <row r="179" spans="3:6">
      <c r="C179" s="190" t="str">
        <f>"0x"&amp;DEC2HEX(_xlfn.DECIMAL(SUBSTITUTE(C178,"0x",""),16) + I151 - 1)</f>
        <v>0x2722F</v>
      </c>
      <c r="D179" s="220"/>
      <c r="E179" s="220"/>
      <c r="F179" s="220"/>
    </row>
    <row r="180" spans="3:6">
      <c r="C180" s="79" t="s">
        <v>554</v>
      </c>
      <c r="D180" s="226" t="s">
        <v>550</v>
      </c>
      <c r="E180" s="220">
        <f t="shared" ref="E180" si="144">HEX2DEC(SUBSTITUTE(C181,"0x","")) - HEX2DEC(SUBSTITUTE(C180,"0x",""))+1</f>
        <v>400</v>
      </c>
      <c r="F180" s="220" t="str">
        <f t="shared" ref="F180" si="145">"0x"&amp;DEC2HEX(E180, 5)</f>
        <v>0x00190</v>
      </c>
    </row>
    <row r="181" spans="3:6">
      <c r="C181" s="190" t="str">
        <f>"0x"&amp;DEC2HEX(_xlfn.DECIMAL(SUBSTITUTE(C180,"0x",""),16) + I159 - 1)</f>
        <v>0x273BF</v>
      </c>
      <c r="D181" s="226"/>
      <c r="E181" s="220"/>
      <c r="F181" s="220"/>
    </row>
    <row r="182" spans="3:6">
      <c r="C182" s="79" t="s">
        <v>505</v>
      </c>
      <c r="D182" s="220" t="s">
        <v>555</v>
      </c>
      <c r="E182" s="220">
        <f t="shared" ref="E182" si="146">HEX2DEC(SUBSTITUTE(C183,"0x","")) - HEX2DEC(SUBSTITUTE(C182,"0x",""))+1</f>
        <v>4048</v>
      </c>
      <c r="F182" s="220" t="str">
        <f t="shared" ref="F182" si="147">"0x"&amp;DEC2HEX(E182, 5)</f>
        <v>0x00FD0</v>
      </c>
    </row>
    <row r="183" spans="3:6">
      <c r="C183" s="190" t="str">
        <f>"0x"&amp;DEC2HEX(_xlfn.DECIMAL(SUBSTITUTE(C182,"0x",""),16) + I149 - 1)</f>
        <v>0x297CF</v>
      </c>
      <c r="D183" s="220"/>
      <c r="E183" s="220"/>
      <c r="F183" s="220"/>
    </row>
    <row r="184" spans="3:6">
      <c r="C184" s="79" t="s">
        <v>560</v>
      </c>
      <c r="D184" s="220" t="s">
        <v>556</v>
      </c>
      <c r="E184" s="220">
        <f t="shared" ref="E184" si="148">HEX2DEC(SUBSTITUTE(C185,"0x","")) - HEX2DEC(SUBSTITUTE(C184,"0x",""))+1</f>
        <v>12288</v>
      </c>
      <c r="F184" s="220" t="str">
        <f t="shared" ref="F184" si="149">"0x"&amp;DEC2HEX(E184, 5)</f>
        <v>0x03000</v>
      </c>
    </row>
    <row r="185" spans="3:6">
      <c r="C185" s="190" t="str">
        <f>"0x"&amp;DEC2HEX(_xlfn.DECIMAL(SUBSTITUTE(C184,"0x",""),16) + I150 - 1)</f>
        <v>0x2C7CF</v>
      </c>
      <c r="D185" s="220"/>
      <c r="E185" s="220"/>
      <c r="F185" s="220"/>
    </row>
    <row r="186" spans="3:6">
      <c r="C186" s="79" t="s">
        <v>561</v>
      </c>
      <c r="D186" s="220" t="s">
        <v>557</v>
      </c>
      <c r="E186" s="220">
        <f t="shared" ref="E186" si="150">HEX2DEC(SUBSTITUTE(C187,"0x","")) - HEX2DEC(SUBSTITUTE(C186,"0x",""))+1</f>
        <v>9216</v>
      </c>
      <c r="F186" s="220" t="str">
        <f t="shared" ref="F186" si="151">"0x"&amp;DEC2HEX(E186, 5)</f>
        <v>0x02400</v>
      </c>
    </row>
    <row r="187" spans="3:6">
      <c r="C187" s="190" t="str">
        <f>"0x"&amp;DEC2HEX(_xlfn.DECIMAL(SUBSTITUTE(C186,"0x",""),16) + I153 - 1)</f>
        <v>0x2EBCF</v>
      </c>
      <c r="D187" s="220"/>
      <c r="E187" s="220"/>
      <c r="F187" s="220"/>
    </row>
    <row r="188" spans="3:6">
      <c r="C188" s="79" t="s">
        <v>562</v>
      </c>
      <c r="D188" s="220" t="s">
        <v>558</v>
      </c>
      <c r="E188" s="220">
        <f t="shared" ref="E188" si="152">HEX2DEC(SUBSTITUTE(C189,"0x","")) - HEX2DEC(SUBSTITUTE(C188,"0x",""))+1</f>
        <v>5728</v>
      </c>
      <c r="F188" s="220" t="str">
        <f t="shared" ref="F188" si="153">"0x"&amp;DEC2HEX(E188, 5)</f>
        <v>0x01660</v>
      </c>
    </row>
    <row r="189" spans="3:6">
      <c r="C189" s="190" t="str">
        <f>"0x"&amp;DEC2HEX(_xlfn.DECIMAL(SUBSTITUTE(C188,"0x",""),16) + I151 - 1)</f>
        <v>0x3022F</v>
      </c>
      <c r="D189" s="220"/>
      <c r="E189" s="220"/>
      <c r="F189" s="220"/>
    </row>
    <row r="190" spans="3:6">
      <c r="C190" s="79" t="s">
        <v>563</v>
      </c>
      <c r="D190" s="226" t="s">
        <v>559</v>
      </c>
      <c r="E190" s="220">
        <f t="shared" ref="E190" si="154">HEX2DEC(SUBSTITUTE(C191,"0x","")) - HEX2DEC(SUBSTITUTE(C190,"0x",""))+1</f>
        <v>400</v>
      </c>
      <c r="F190" s="220" t="str">
        <f t="shared" ref="F190" si="155">"0x"&amp;DEC2HEX(E190, 5)</f>
        <v>0x00190</v>
      </c>
    </row>
    <row r="191" spans="3:6">
      <c r="C191" s="190" t="str">
        <f>"0x"&amp;DEC2HEX(_xlfn.DECIMAL(SUBSTITUTE(C190,"0x",""),16) + I159 - 1)</f>
        <v>0x303BF</v>
      </c>
      <c r="D191" s="226"/>
      <c r="E191" s="220"/>
      <c r="F191" s="220"/>
    </row>
    <row r="192" spans="3:6">
      <c r="C192" s="79" t="s">
        <v>647</v>
      </c>
      <c r="D192" s="226" t="s">
        <v>648</v>
      </c>
      <c r="E192" s="220">
        <f t="shared" ref="E192" si="156">HEX2DEC(SUBSTITUTE(C193,"0x","")) - HEX2DEC(SUBSTITUTE(C192,"0x",""))+1</f>
        <v>1120</v>
      </c>
      <c r="F192" s="220" t="str">
        <f t="shared" ref="F192" si="157">"0x"&amp;DEC2HEX(E192, 5)</f>
        <v>0x00460</v>
      </c>
    </row>
    <row r="193" spans="3:10">
      <c r="C193" s="190" t="str">
        <f>"0x"&amp;DEC2HEX(_xlfn.DECIMAL(SUBSTITUTE(C192,"0x",""),16) + I160 - 1)</f>
        <v>0x3321F</v>
      </c>
      <c r="D193" s="226"/>
      <c r="E193" s="220"/>
      <c r="F193" s="220"/>
    </row>
    <row r="194" spans="3:10">
      <c r="C194" s="79" t="s">
        <v>649</v>
      </c>
      <c r="D194" s="224" t="s">
        <v>666</v>
      </c>
      <c r="E194" s="220">
        <f t="shared" ref="E194" si="158">HEX2DEC(SUBSTITUTE(C195,"0x","")) - HEX2DEC(SUBSTITUTE(C194,"0x",""))+1</f>
        <v>2048</v>
      </c>
      <c r="F194" s="220" t="str">
        <f t="shared" ref="F194" si="159">"0x"&amp;DEC2HEX(E194, 5)</f>
        <v>0x00800</v>
      </c>
    </row>
    <row r="195" spans="3:10">
      <c r="C195" s="79" t="s">
        <v>650</v>
      </c>
      <c r="D195" s="224"/>
      <c r="E195" s="220"/>
      <c r="F195" s="220"/>
    </row>
    <row r="196" spans="3:10">
      <c r="C196" s="79" t="s">
        <v>357</v>
      </c>
      <c r="D196" s="220" t="s">
        <v>185</v>
      </c>
      <c r="E196" s="220">
        <f t="shared" ref="E196" si="160">HEX2DEC(SUBSTITUTE(C197,"0x","")) - HEX2DEC(SUBSTITUTE(C196,"0x",""))+1</f>
        <v>4</v>
      </c>
      <c r="F196" s="220" t="str">
        <f t="shared" ref="F196" si="161">"0x"&amp;DEC2HEX(E196, 5)</f>
        <v>0x00004</v>
      </c>
    </row>
    <row r="197" spans="3:10">
      <c r="C197" s="79" t="s">
        <v>359</v>
      </c>
      <c r="D197" s="220"/>
      <c r="E197" s="220"/>
      <c r="F197" s="220"/>
    </row>
    <row r="198" spans="3:10">
      <c r="C198" s="79" t="s">
        <v>362</v>
      </c>
      <c r="D198" s="220" t="s">
        <v>526</v>
      </c>
      <c r="E198" s="220">
        <f t="shared" ref="E198" si="162">HEX2DEC(SUBSTITUTE(C199,"0x","")) - HEX2DEC(SUBSTITUTE(C198,"0x",""))+1</f>
        <v>8192</v>
      </c>
      <c r="F198" s="220" t="str">
        <f t="shared" ref="F198" si="163">"0x"&amp;DEC2HEX(E198, 5)</f>
        <v>0x02000</v>
      </c>
    </row>
    <row r="199" spans="3:10">
      <c r="C199" s="79" t="s">
        <v>186</v>
      </c>
      <c r="D199" s="220"/>
      <c r="E199" s="220"/>
      <c r="F199" s="220"/>
    </row>
    <row r="200" spans="3:10">
      <c r="C200" s="194" t="s">
        <v>187</v>
      </c>
      <c r="D200" s="229" t="s">
        <v>527</v>
      </c>
      <c r="E200" s="229">
        <f t="shared" ref="E200" si="164">HEX2DEC(SUBSTITUTE(C201,"0x","")) - HEX2DEC(SUBSTITUTE(C200,"0x",""))+1</f>
        <v>12288</v>
      </c>
      <c r="F200" s="229" t="str">
        <f t="shared" ref="F200" si="165">"0x"&amp;DEC2HEX(E200, 5)</f>
        <v>0x03000</v>
      </c>
    </row>
    <row r="201" spans="3:10">
      <c r="C201" s="194" t="s">
        <v>447</v>
      </c>
      <c r="D201" s="229"/>
      <c r="E201" s="229"/>
      <c r="F201" s="229"/>
    </row>
    <row r="202" spans="3:10">
      <c r="C202" s="79" t="s">
        <v>567</v>
      </c>
      <c r="D202" s="220" t="s">
        <v>509</v>
      </c>
      <c r="E202" s="220">
        <f t="shared" ref="E202" si="166">HEX2DEC(SUBSTITUTE(C203,"0x","")) - HEX2DEC(SUBSTITUTE(C202,"0x",""))+1</f>
        <v>4096</v>
      </c>
      <c r="F202" s="220" t="str">
        <f t="shared" ref="F202" si="167">"0x"&amp;DEC2HEX(E202, 5)</f>
        <v>0x01000</v>
      </c>
    </row>
    <row r="203" spans="3:10">
      <c r="C203" s="79" t="s">
        <v>449</v>
      </c>
      <c r="D203" s="220"/>
      <c r="E203" s="220"/>
      <c r="F203" s="220"/>
    </row>
    <row r="204" spans="3:10">
      <c r="C204" s="79" t="s">
        <v>471</v>
      </c>
      <c r="D204" s="232" t="s">
        <v>581</v>
      </c>
      <c r="E204" s="220">
        <f t="shared" ref="E204" si="168">HEX2DEC(SUBSTITUTE(C205,"0x","")) - HEX2DEC(SUBSTITUTE(C204,"0x",""))+1</f>
        <v>4096</v>
      </c>
      <c r="F204" s="220" t="str">
        <f t="shared" ref="F204" si="169">"0x"&amp;DEC2HEX(E204, 5)</f>
        <v>0x01000</v>
      </c>
    </row>
    <row r="205" spans="3:10">
      <c r="C205" s="79" t="s">
        <v>369</v>
      </c>
      <c r="D205" s="220"/>
      <c r="E205" s="220"/>
      <c r="F205" s="220"/>
    </row>
    <row r="206" spans="3:10">
      <c r="C206" s="79" t="s">
        <v>510</v>
      </c>
      <c r="D206" s="219" t="s">
        <v>565</v>
      </c>
      <c r="E206" s="220">
        <f t="shared" ref="E206" si="170">HEX2DEC(SUBSTITUTE(C207,"0x","")) - HEX2DEC(SUBSTITUTE(C206,"0x",""))+1</f>
        <v>16384</v>
      </c>
      <c r="F206" s="220" t="str">
        <f t="shared" ref="F206" si="171">"0x"&amp;DEC2HEX(E206, 5)</f>
        <v>0x04000</v>
      </c>
    </row>
    <row r="207" spans="3:10">
      <c r="C207" s="79" t="s">
        <v>258</v>
      </c>
      <c r="D207" s="219"/>
      <c r="E207" s="220"/>
      <c r="F207" s="220"/>
    </row>
    <row r="208" spans="3:10">
      <c r="C208" s="79" t="s">
        <v>566</v>
      </c>
      <c r="D208" s="219" t="s">
        <v>652</v>
      </c>
      <c r="E208" s="220">
        <f t="shared" ref="E208" si="172">HEX2DEC(SUBSTITUTE(C209,"0x","")) - HEX2DEC(SUBSTITUTE(C208,"0x",""))+1</f>
        <v>139264</v>
      </c>
      <c r="F208" s="220" t="str">
        <f t="shared" ref="F208" si="173">"0x"&amp;DEC2HEX(E208, 5)</f>
        <v>0x22000</v>
      </c>
      <c r="H208" s="218" t="s">
        <v>483</v>
      </c>
      <c r="I208" s="218">
        <f>HEX2DEC(SUBSTITUTE(C205,"0x","")) - HEX2DEC(SUBSTITUTE(C148,"0x",""))+1</f>
        <v>245760</v>
      </c>
      <c r="J208" s="218" t="str">
        <f>"0x"&amp;DEC2HEX(I208, 5)</f>
        <v>0x3C000</v>
      </c>
    </row>
    <row r="209" spans="3:10">
      <c r="C209" s="79" t="s">
        <v>568</v>
      </c>
      <c r="D209" s="219"/>
      <c r="E209" s="220"/>
      <c r="F209" s="220"/>
      <c r="H209" s="218"/>
      <c r="I209" s="218"/>
      <c r="J209" s="218"/>
    </row>
    <row r="211" spans="3:10">
      <c r="C211" s="225" t="s">
        <v>469</v>
      </c>
      <c r="D211" s="225"/>
      <c r="E211" s="225"/>
      <c r="F211" s="225"/>
    </row>
    <row r="212" spans="3:10">
      <c r="C212" s="80" t="s">
        <v>537</v>
      </c>
      <c r="D212" s="80" t="s">
        <v>163</v>
      </c>
      <c r="E212" s="80" t="s">
        <v>492</v>
      </c>
      <c r="F212" s="80" t="s">
        <v>266</v>
      </c>
      <c r="H212" s="208" t="s">
        <v>484</v>
      </c>
      <c r="I212" s="208"/>
      <c r="J212" s="208"/>
    </row>
    <row r="213" spans="3:10">
      <c r="C213" s="79" t="s">
        <v>165</v>
      </c>
      <c r="D213" s="219" t="s">
        <v>261</v>
      </c>
      <c r="E213" s="220">
        <f>HEX2DEC(SUBSTITUTE(C214,"0x","")) - HEX2DEC(SUBSTITUTE(C213,"0x",""))+1</f>
        <v>24576</v>
      </c>
      <c r="F213" s="220" t="str">
        <f>"0x"&amp;DEC2HEX(E213, 5)</f>
        <v>0x06000</v>
      </c>
      <c r="H213" s="193" t="s">
        <v>490</v>
      </c>
      <c r="I213" s="193" t="s">
        <v>164</v>
      </c>
      <c r="J213" s="193" t="s">
        <v>266</v>
      </c>
    </row>
    <row r="214" spans="3:10">
      <c r="C214" s="79" t="s">
        <v>245</v>
      </c>
      <c r="D214" s="219"/>
      <c r="E214" s="220"/>
      <c r="F214" s="220"/>
      <c r="H214" s="138" t="s">
        <v>486</v>
      </c>
      <c r="I214" s="138">
        <v>8080</v>
      </c>
      <c r="J214" s="138" t="str">
        <f>"0x"&amp;DEC2HEX(I214, 5)</f>
        <v>0x01F90</v>
      </c>
    </row>
    <row r="215" spans="3:10">
      <c r="C215" s="79" t="s">
        <v>246</v>
      </c>
      <c r="D215" s="232" t="s">
        <v>581</v>
      </c>
      <c r="E215" s="220">
        <f t="shared" ref="E215" si="174">HEX2DEC(SUBSTITUTE(C216,"0x","")) - HEX2DEC(SUBSTITUTE(C215,"0x",""))+1</f>
        <v>4096</v>
      </c>
      <c r="F215" s="220" t="str">
        <f t="shared" ref="F215" si="175">"0x"&amp;DEC2HEX(E215, 5)</f>
        <v>0x01000</v>
      </c>
      <c r="H215" s="138" t="s">
        <v>487</v>
      </c>
      <c r="I215" s="138">
        <v>18944</v>
      </c>
      <c r="J215" s="138" t="str">
        <f t="shared" ref="J215:J218" si="176">"0x"&amp;DEC2HEX(I215, 5)</f>
        <v>0x04A00</v>
      </c>
    </row>
    <row r="216" spans="3:10">
      <c r="C216" s="79" t="s">
        <v>267</v>
      </c>
      <c r="D216" s="220"/>
      <c r="E216" s="220"/>
      <c r="F216" s="220"/>
      <c r="H216" s="138" t="s">
        <v>488</v>
      </c>
      <c r="I216" s="138">
        <v>6496</v>
      </c>
      <c r="J216" s="138" t="str">
        <f t="shared" si="176"/>
        <v>0x01960</v>
      </c>
    </row>
    <row r="217" spans="3:10">
      <c r="C217" s="79" t="s">
        <v>248</v>
      </c>
      <c r="D217" s="226" t="s">
        <v>169</v>
      </c>
      <c r="E217" s="220">
        <f t="shared" ref="E217" si="177">HEX2DEC(SUBSTITUTE(C218,"0x","")) - HEX2DEC(SUBSTITUTE(C217,"0x",""))+1</f>
        <v>512</v>
      </c>
      <c r="F217" s="220" t="str">
        <f t="shared" ref="F217" si="178">"0x"&amp;DEC2HEX(E217, 5)</f>
        <v>0x00200</v>
      </c>
      <c r="H217" s="138" t="s">
        <v>489</v>
      </c>
      <c r="I217" s="138">
        <v>35840</v>
      </c>
      <c r="J217" s="138" t="str">
        <f t="shared" si="176"/>
        <v>0x08C00</v>
      </c>
    </row>
    <row r="218" spans="3:10">
      <c r="C218" s="79" t="s">
        <v>250</v>
      </c>
      <c r="D218" s="226"/>
      <c r="E218" s="220"/>
      <c r="F218" s="220"/>
      <c r="H218" s="138" t="s">
        <v>491</v>
      </c>
      <c r="I218" s="138">
        <v>0</v>
      </c>
      <c r="J218" s="138" t="str">
        <f t="shared" si="176"/>
        <v>0x00000</v>
      </c>
    </row>
    <row r="219" spans="3:10">
      <c r="C219" s="79" t="s">
        <v>251</v>
      </c>
      <c r="D219" s="220" t="s">
        <v>175</v>
      </c>
      <c r="E219" s="220">
        <f t="shared" ref="E219" si="179">HEX2DEC(SUBSTITUTE(C220,"0x","")) - HEX2DEC(SUBSTITUTE(C219,"0x",""))+1</f>
        <v>98304</v>
      </c>
      <c r="F219" s="220" t="str">
        <f t="shared" ref="F219" si="180">"0x"&amp;DEC2HEX(E219, 5)</f>
        <v>0x18000</v>
      </c>
    </row>
    <row r="220" spans="3:10">
      <c r="C220" s="79" t="s">
        <v>252</v>
      </c>
      <c r="D220" s="220"/>
      <c r="E220" s="220"/>
      <c r="F220" s="220"/>
      <c r="H220" s="208" t="s">
        <v>514</v>
      </c>
      <c r="I220" s="208"/>
      <c r="J220" s="208"/>
    </row>
    <row r="221" spans="3:10">
      <c r="C221" s="79" t="s">
        <v>253</v>
      </c>
      <c r="D221" s="224" t="s">
        <v>498</v>
      </c>
      <c r="E221" s="220">
        <f t="shared" ref="E221" si="181">HEX2DEC(SUBSTITUTE(C222,"0x","")) - HEX2DEC(SUBSTITUTE(C221,"0x",""))+1</f>
        <v>1920</v>
      </c>
      <c r="F221" s="220" t="str">
        <f t="shared" ref="F221" si="182">"0x"&amp;DEC2HEX(E221, 5)</f>
        <v>0x00780</v>
      </c>
      <c r="H221" s="193" t="s">
        <v>490</v>
      </c>
      <c r="I221" s="193" t="s">
        <v>164</v>
      </c>
      <c r="J221" s="193" t="s">
        <v>266</v>
      </c>
    </row>
    <row r="222" spans="3:10">
      <c r="C222" s="79" t="s">
        <v>604</v>
      </c>
      <c r="D222" s="224"/>
      <c r="E222" s="220"/>
      <c r="F222" s="220"/>
      <c r="H222" s="192" t="s">
        <v>242</v>
      </c>
      <c r="I222" s="192">
        <v>512</v>
      </c>
      <c r="J222" s="138" t="str">
        <f t="shared" ref="J222" si="183">"0x"&amp;DEC2HEX(I222, 5)</f>
        <v>0x00200</v>
      </c>
    </row>
    <row r="223" spans="3:10">
      <c r="C223" s="79" t="s">
        <v>641</v>
      </c>
      <c r="D223" s="224" t="s">
        <v>500</v>
      </c>
      <c r="E223" s="220">
        <f t="shared" ref="E223" si="184">HEX2DEC(SUBSTITUTE(C224,"0x","")) - HEX2DEC(SUBSTITUTE(C223,"0x",""))+1</f>
        <v>128</v>
      </c>
      <c r="F223" s="220" t="str">
        <f t="shared" ref="F223" si="185">"0x"&amp;DEC2HEX(E223, 5)</f>
        <v>0x00080</v>
      </c>
      <c r="H223" s="138"/>
      <c r="I223" s="138"/>
      <c r="J223" s="138"/>
    </row>
    <row r="224" spans="3:10">
      <c r="C224" s="79" t="s">
        <v>642</v>
      </c>
      <c r="D224" s="224"/>
      <c r="E224" s="220"/>
      <c r="F224" s="220"/>
      <c r="H224" s="138"/>
      <c r="I224" s="138"/>
      <c r="J224" s="138"/>
    </row>
    <row r="225" spans="3:10">
      <c r="C225" s="79" t="s">
        <v>470</v>
      </c>
      <c r="D225" s="220" t="s">
        <v>263</v>
      </c>
      <c r="E225" s="220">
        <f t="shared" ref="E225" si="186">HEX2DEC(SUBSTITUTE(C226,"0x","")) - HEX2DEC(SUBSTITUTE(C225,"0x",""))+1</f>
        <v>8080</v>
      </c>
      <c r="F225" s="220" t="str">
        <f t="shared" ref="F225" si="187">"0x"&amp;DEC2HEX(E225, 5)</f>
        <v>0x01F90</v>
      </c>
      <c r="H225" s="138"/>
      <c r="I225" s="138"/>
      <c r="J225" s="138"/>
    </row>
    <row r="226" spans="3:10">
      <c r="C226" s="190" t="str">
        <f>"0x"&amp;DEC2HEX(_xlfn.DECIMAL(SUBSTITUTE(C225,"0x",""),16) + I214 - 1)</f>
        <v>0x21B8F</v>
      </c>
      <c r="D226" s="220"/>
      <c r="E226" s="220"/>
      <c r="F226" s="220"/>
      <c r="H226" s="138"/>
      <c r="I226" s="138"/>
      <c r="J226" s="138"/>
    </row>
    <row r="227" spans="3:10">
      <c r="C227" s="79" t="s">
        <v>479</v>
      </c>
      <c r="D227" s="220" t="s">
        <v>264</v>
      </c>
      <c r="E227" s="220">
        <f t="shared" ref="E227" si="188">HEX2DEC(SUBSTITUTE(C228,"0x","")) - HEX2DEC(SUBSTITUTE(C227,"0x",""))+1</f>
        <v>18944</v>
      </c>
      <c r="F227" s="220" t="str">
        <f t="shared" ref="F227" si="189">"0x"&amp;DEC2HEX(E227, 5)</f>
        <v>0x04A00</v>
      </c>
    </row>
    <row r="228" spans="3:10">
      <c r="C228" s="190" t="str">
        <f>"0x"&amp;DEC2HEX(_xlfn.DECIMAL(SUBSTITUTE(C227,"0x",""),16) + I215 - 1)</f>
        <v>0x2658F</v>
      </c>
      <c r="D228" s="220"/>
      <c r="E228" s="220"/>
      <c r="F228" s="220"/>
      <c r="H228" s="208" t="s">
        <v>669</v>
      </c>
      <c r="I228" s="208"/>
      <c r="J228" s="208"/>
    </row>
    <row r="229" spans="3:10" ht="15" customHeight="1">
      <c r="C229" s="79" t="s">
        <v>480</v>
      </c>
      <c r="D229" s="220" t="s">
        <v>265</v>
      </c>
      <c r="E229" s="220">
        <f t="shared" ref="E229" si="190">HEX2DEC(SUBSTITUTE(C230,"0x","")) - HEX2DEC(SUBSTITUTE(C229,"0x",""))+1</f>
        <v>6496</v>
      </c>
      <c r="F229" s="220" t="str">
        <f t="shared" ref="F229" si="191">"0x"&amp;DEC2HEX(E229, 5)</f>
        <v>0x01960</v>
      </c>
      <c r="H229" s="235" t="s">
        <v>670</v>
      </c>
      <c r="I229" s="236"/>
      <c r="J229" s="237"/>
    </row>
    <row r="230" spans="3:10">
      <c r="C230" s="190" t="str">
        <f>"0x"&amp;DEC2HEX(_xlfn.DECIMAL(SUBSTITUTE(C229,"0x",""),16) + I216 - 1)</f>
        <v>0x27EEF</v>
      </c>
      <c r="D230" s="220"/>
      <c r="E230" s="220"/>
      <c r="F230" s="220"/>
      <c r="H230" s="238"/>
      <c r="I230" s="239"/>
      <c r="J230" s="240"/>
    </row>
    <row r="231" spans="3:10">
      <c r="C231" s="79" t="s">
        <v>515</v>
      </c>
      <c r="D231" s="226" t="s">
        <v>516</v>
      </c>
      <c r="E231" s="220">
        <f t="shared" ref="E231" si="192">HEX2DEC(SUBSTITUTE(C232,"0x","")) - HEX2DEC(SUBSTITUTE(C231,"0x",""))+1</f>
        <v>512</v>
      </c>
      <c r="F231" s="220" t="str">
        <f t="shared" ref="F231" si="193">"0x"&amp;DEC2HEX(E231, 5)</f>
        <v>0x00200</v>
      </c>
      <c r="H231" s="238"/>
      <c r="I231" s="239"/>
      <c r="J231" s="240"/>
    </row>
    <row r="232" spans="3:10">
      <c r="C232" s="190" t="str">
        <f>"0x"&amp;DEC2HEX(_xlfn.DECIMAL(SUBSTITUTE(C231,"0x",""),16) + I222 - 1)</f>
        <v>0x280EF</v>
      </c>
      <c r="D232" s="226"/>
      <c r="E232" s="220"/>
      <c r="F232" s="220"/>
      <c r="H232" s="238"/>
      <c r="I232" s="239"/>
      <c r="J232" s="240"/>
    </row>
    <row r="233" spans="3:10">
      <c r="C233" s="79" t="s">
        <v>481</v>
      </c>
      <c r="D233" s="220" t="s">
        <v>485</v>
      </c>
      <c r="E233" s="220">
        <f t="shared" ref="E233" si="194">HEX2DEC(SUBSTITUTE(C234,"0x","")) - HEX2DEC(SUBSTITUTE(C233,"0x",""))+1</f>
        <v>35840</v>
      </c>
      <c r="F233" s="220" t="str">
        <f t="shared" ref="F233" si="195">"0x"&amp;DEC2HEX(E233, 5)</f>
        <v>0x08C00</v>
      </c>
      <c r="H233" s="238"/>
      <c r="I233" s="239"/>
      <c r="J233" s="240"/>
    </row>
    <row r="234" spans="3:10">
      <c r="C234" s="190" t="str">
        <f>"0x"&amp;DEC2HEX(_xlfn.DECIMAL(SUBSTITUTE(C233,"0x",""),16) + I217 - 1)</f>
        <v>0x35CFF</v>
      </c>
      <c r="D234" s="220"/>
      <c r="E234" s="220"/>
      <c r="F234" s="220"/>
      <c r="H234" s="238"/>
      <c r="I234" s="239"/>
      <c r="J234" s="240"/>
    </row>
    <row r="235" spans="3:10">
      <c r="C235" s="194" t="s">
        <v>494</v>
      </c>
      <c r="D235" s="229" t="s">
        <v>493</v>
      </c>
      <c r="E235" s="229">
        <f t="shared" ref="E235" si="196">HEX2DEC(SUBSTITUTE(C236,"0x","")) - HEX2DEC(SUBSTITUTE(C235,"0x",""))+1</f>
        <v>37632</v>
      </c>
      <c r="F235" s="229" t="str">
        <f t="shared" ref="F235" si="197">"0x"&amp;DEC2HEX(E235, 5)</f>
        <v>0x09300</v>
      </c>
      <c r="H235" s="238"/>
      <c r="I235" s="239"/>
      <c r="J235" s="240"/>
    </row>
    <row r="236" spans="3:10">
      <c r="C236" s="194" t="s">
        <v>495</v>
      </c>
      <c r="D236" s="229"/>
      <c r="E236" s="229"/>
      <c r="F236" s="229"/>
      <c r="H236" s="241"/>
      <c r="I236" s="242"/>
      <c r="J236" s="243"/>
    </row>
    <row r="237" spans="3:10">
      <c r="C237" s="79" t="s">
        <v>256</v>
      </c>
      <c r="D237" s="224" t="s">
        <v>662</v>
      </c>
      <c r="E237" s="220">
        <f t="shared" ref="E237" si="198">HEX2DEC(SUBSTITUTE(C238,"0x","")) - HEX2DEC(SUBSTITUTE(C237,"0x",""))+1</f>
        <v>4092</v>
      </c>
      <c r="F237" s="220" t="str">
        <f t="shared" ref="F237" si="199">"0x"&amp;DEC2HEX(E237, 5)</f>
        <v>0x00FFC</v>
      </c>
    </row>
    <row r="238" spans="3:10">
      <c r="C238" s="79" t="s">
        <v>257</v>
      </c>
      <c r="D238" s="224"/>
      <c r="E238" s="220"/>
      <c r="F238" s="220"/>
    </row>
    <row r="239" spans="3:10">
      <c r="C239" s="79" t="s">
        <v>482</v>
      </c>
      <c r="D239" s="220" t="s">
        <v>185</v>
      </c>
      <c r="E239" s="220">
        <f t="shared" ref="E239" si="200">HEX2DEC(SUBSTITUTE(C240,"0x","")) - HEX2DEC(SUBSTITUTE(C239,"0x",""))+1</f>
        <v>4</v>
      </c>
      <c r="F239" s="220" t="str">
        <f t="shared" ref="F239" si="201">"0x"&amp;DEC2HEX(E239, 5)</f>
        <v>0x00004</v>
      </c>
      <c r="H239" s="218" t="s">
        <v>483</v>
      </c>
      <c r="I239" s="218">
        <f>HEX2DEC(SUBSTITUTE(C240,"0x","")) - HEX2DEC(SUBSTITUTE(C217,"0x",""))+1</f>
        <v>233472</v>
      </c>
      <c r="J239" s="218" t="str">
        <f>"0x"&amp;DEC2HEX(I239, 5)</f>
        <v>0x39000</v>
      </c>
    </row>
    <row r="240" spans="3:10">
      <c r="C240" s="79" t="s">
        <v>258</v>
      </c>
      <c r="D240" s="220"/>
      <c r="E240" s="220"/>
      <c r="F240" s="220"/>
      <c r="H240" s="218"/>
      <c r="I240" s="218"/>
      <c r="J240" s="218"/>
    </row>
    <row r="242" spans="3:10">
      <c r="C242" s="244">
        <v>51930</v>
      </c>
      <c r="D242" s="245"/>
      <c r="E242" s="245"/>
      <c r="F242" s="246"/>
    </row>
    <row r="243" spans="3:10">
      <c r="C243" s="80" t="s">
        <v>537</v>
      </c>
      <c r="D243" s="80" t="s">
        <v>163</v>
      </c>
      <c r="E243" s="80" t="s">
        <v>164</v>
      </c>
      <c r="F243" s="80" t="s">
        <v>266</v>
      </c>
      <c r="H243" s="208" t="s">
        <v>484</v>
      </c>
      <c r="I243" s="208"/>
      <c r="J243" s="208"/>
    </row>
    <row r="244" spans="3:10">
      <c r="C244" s="79" t="s">
        <v>165</v>
      </c>
      <c r="D244" s="219" t="s">
        <v>261</v>
      </c>
      <c r="E244" s="220">
        <f>HEX2DEC(SUBSTITUTE(C245,"0x","")) - HEX2DEC(SUBSTITUTE(C244,"0x",""))+1</f>
        <v>24576</v>
      </c>
      <c r="F244" s="220" t="str">
        <f>"0x"&amp;DEC2HEX(E244, 5)</f>
        <v>0x06000</v>
      </c>
      <c r="H244" s="193" t="s">
        <v>490</v>
      </c>
      <c r="I244" s="193" t="s">
        <v>164</v>
      </c>
      <c r="J244" s="193" t="s">
        <v>266</v>
      </c>
    </row>
    <row r="245" spans="3:10">
      <c r="C245" s="79" t="s">
        <v>245</v>
      </c>
      <c r="D245" s="219"/>
      <c r="E245" s="220"/>
      <c r="F245" s="220"/>
      <c r="H245" s="138" t="s">
        <v>486</v>
      </c>
      <c r="I245" s="138">
        <v>6736</v>
      </c>
      <c r="J245" s="138" t="str">
        <f>"0x"&amp;DEC2HEX(I245, 5)</f>
        <v>0x01A50</v>
      </c>
    </row>
    <row r="246" spans="3:10">
      <c r="C246" s="79" t="s">
        <v>246</v>
      </c>
      <c r="D246" s="247" t="s">
        <v>262</v>
      </c>
      <c r="E246" s="220">
        <f t="shared" ref="E246" si="202">HEX2DEC(SUBSTITUTE(C247,"0x","")) - HEX2DEC(SUBSTITUTE(C246,"0x",""))+1</f>
        <v>4096</v>
      </c>
      <c r="F246" s="220" t="str">
        <f t="shared" ref="F246" si="203">"0x"&amp;DEC2HEX(E246, 5)</f>
        <v>0x01000</v>
      </c>
      <c r="H246" s="138" t="s">
        <v>487</v>
      </c>
      <c r="I246" s="138">
        <v>11264</v>
      </c>
      <c r="J246" s="138" t="str">
        <f t="shared" ref="J246:J249" si="204">"0x"&amp;DEC2HEX(I246, 5)</f>
        <v>0x02C00</v>
      </c>
    </row>
    <row r="247" spans="3:10">
      <c r="C247" s="79" t="s">
        <v>267</v>
      </c>
      <c r="D247" s="220"/>
      <c r="E247" s="220"/>
      <c r="F247" s="220"/>
      <c r="H247" s="138" t="s">
        <v>488</v>
      </c>
      <c r="I247" s="138">
        <v>6496</v>
      </c>
      <c r="J247" s="138" t="str">
        <f t="shared" si="204"/>
        <v>0x01960</v>
      </c>
    </row>
    <row r="248" spans="3:10">
      <c r="C248" s="79" t="s">
        <v>600</v>
      </c>
      <c r="D248" s="226" t="s">
        <v>169</v>
      </c>
      <c r="E248" s="220">
        <f t="shared" ref="E248" si="205">HEX2DEC(SUBSTITUTE(C249,"0x","")) - HEX2DEC(SUBSTITUTE(C248,"0x",""))+1</f>
        <v>256</v>
      </c>
      <c r="F248" s="220" t="str">
        <f t="shared" ref="F248" si="206">"0x"&amp;DEC2HEX(E248, 5)</f>
        <v>0x00100</v>
      </c>
      <c r="H248" s="138" t="s">
        <v>643</v>
      </c>
      <c r="I248" s="138">
        <v>65024</v>
      </c>
      <c r="J248" s="138" t="str">
        <f t="shared" si="204"/>
        <v>0x0FE00</v>
      </c>
    </row>
    <row r="249" spans="3:10">
      <c r="C249" s="79" t="s">
        <v>601</v>
      </c>
      <c r="D249" s="226"/>
      <c r="E249" s="220"/>
      <c r="F249" s="220"/>
      <c r="H249" s="138" t="s">
        <v>491</v>
      </c>
      <c r="I249" s="138">
        <v>13312</v>
      </c>
      <c r="J249" s="138" t="str">
        <f t="shared" si="204"/>
        <v>0x03400</v>
      </c>
    </row>
    <row r="250" spans="3:10">
      <c r="C250" s="79" t="s">
        <v>602</v>
      </c>
      <c r="D250" s="230" t="s">
        <v>259</v>
      </c>
      <c r="E250" s="220">
        <f t="shared" ref="E250" si="207">HEX2DEC(SUBSTITUTE(C251,"0x","")) - HEX2DEC(SUBSTITUTE(C250,"0x",""))+1</f>
        <v>256</v>
      </c>
      <c r="F250" s="220" t="str">
        <f t="shared" ref="F250" si="208">"0x"&amp;DEC2HEX(E250, 5)</f>
        <v>0x00100</v>
      </c>
    </row>
    <row r="251" spans="3:10">
      <c r="C251" s="79" t="s">
        <v>603</v>
      </c>
      <c r="D251" s="231"/>
      <c r="E251" s="220"/>
      <c r="F251" s="220"/>
      <c r="H251" s="208" t="s">
        <v>514</v>
      </c>
      <c r="I251" s="208"/>
      <c r="J251" s="208"/>
    </row>
    <row r="252" spans="3:10">
      <c r="C252" s="79" t="s">
        <v>251</v>
      </c>
      <c r="D252" s="220" t="s">
        <v>175</v>
      </c>
      <c r="E252" s="220">
        <f t="shared" ref="E252" si="209">HEX2DEC(SUBSTITUTE(C253,"0x","")) - HEX2DEC(SUBSTITUTE(C252,"0x",""))+1</f>
        <v>98304</v>
      </c>
      <c r="F252" s="220" t="str">
        <f t="shared" ref="F252" si="210">"0x"&amp;DEC2HEX(E252, 5)</f>
        <v>0x18000</v>
      </c>
      <c r="H252" s="193" t="s">
        <v>490</v>
      </c>
      <c r="I252" s="193" t="s">
        <v>164</v>
      </c>
      <c r="J252" s="193" t="s">
        <v>266</v>
      </c>
    </row>
    <row r="253" spans="3:10">
      <c r="C253" s="79" t="s">
        <v>252</v>
      </c>
      <c r="D253" s="220"/>
      <c r="E253" s="220"/>
      <c r="F253" s="220"/>
      <c r="H253" s="192" t="s">
        <v>657</v>
      </c>
      <c r="I253" s="192">
        <v>512</v>
      </c>
      <c r="J253" s="138" t="str">
        <f t="shared" ref="J253" si="211">"0x"&amp;DEC2HEX(I253, 5)</f>
        <v>0x00200</v>
      </c>
    </row>
    <row r="254" spans="3:10">
      <c r="C254" s="79" t="s">
        <v>253</v>
      </c>
      <c r="D254" s="224" t="s">
        <v>498</v>
      </c>
      <c r="E254" s="220">
        <f t="shared" ref="E254" si="212">HEX2DEC(SUBSTITUTE(C255,"0x","")) - HEX2DEC(SUBSTITUTE(C254,"0x",""))+1</f>
        <v>1920</v>
      </c>
      <c r="F254" s="220" t="str">
        <f t="shared" ref="F254" si="213">"0x"&amp;DEC2HEX(E254, 5)</f>
        <v>0x00780</v>
      </c>
      <c r="H254" s="192" t="s">
        <v>658</v>
      </c>
      <c r="I254" s="192">
        <v>256</v>
      </c>
      <c r="J254" s="195" t="str">
        <f t="shared" ref="J254" si="214">"0x"&amp;DEC2HEX(I254, 5)</f>
        <v>0x00100</v>
      </c>
    </row>
    <row r="255" spans="3:10">
      <c r="C255" s="79" t="s">
        <v>604</v>
      </c>
      <c r="D255" s="224"/>
      <c r="E255" s="220"/>
      <c r="F255" s="220"/>
      <c r="H255" s="138"/>
      <c r="I255" s="138"/>
      <c r="J255" s="138"/>
    </row>
    <row r="256" spans="3:10">
      <c r="C256" s="79" t="s">
        <v>641</v>
      </c>
      <c r="D256" s="224" t="s">
        <v>500</v>
      </c>
      <c r="E256" s="220">
        <f t="shared" ref="E256" si="215">HEX2DEC(SUBSTITUTE(C257,"0x","")) - HEX2DEC(SUBSTITUTE(C256,"0x",""))+1</f>
        <v>128</v>
      </c>
      <c r="F256" s="220" t="str">
        <f t="shared" ref="F256" si="216">"0x"&amp;DEC2HEX(E256, 5)</f>
        <v>0x00080</v>
      </c>
      <c r="H256" s="138"/>
      <c r="I256" s="138"/>
      <c r="J256" s="138"/>
    </row>
    <row r="257" spans="2:10">
      <c r="C257" s="79" t="s">
        <v>642</v>
      </c>
      <c r="D257" s="224"/>
      <c r="E257" s="220"/>
      <c r="F257" s="220"/>
      <c r="H257" s="138"/>
      <c r="I257" s="138"/>
      <c r="J257" s="138"/>
    </row>
    <row r="258" spans="2:10">
      <c r="C258" s="79" t="s">
        <v>470</v>
      </c>
      <c r="D258" s="220" t="s">
        <v>263</v>
      </c>
      <c r="E258" s="220">
        <f t="shared" ref="E258" si="217">HEX2DEC(SUBSTITUTE(C259,"0x","")) - HEX2DEC(SUBSTITUTE(C258,"0x",""))+1</f>
        <v>6736</v>
      </c>
      <c r="F258" s="220" t="str">
        <f t="shared" ref="F258" si="218">"0x"&amp;DEC2HEX(E258, 5)</f>
        <v>0x01A50</v>
      </c>
    </row>
    <row r="259" spans="2:10">
      <c r="C259" s="190" t="str">
        <f>"0x"&amp;DEC2HEX(_xlfn.DECIMAL(SUBSTITUTE(C258,"0x",""),16) + I245 - 1)</f>
        <v>0x2164F</v>
      </c>
      <c r="D259" s="220"/>
      <c r="E259" s="220"/>
      <c r="F259" s="220"/>
    </row>
    <row r="260" spans="2:10">
      <c r="C260" s="79" t="s">
        <v>605</v>
      </c>
      <c r="D260" s="220" t="s">
        <v>264</v>
      </c>
      <c r="E260" s="220">
        <f t="shared" ref="E260" si="219">HEX2DEC(SUBSTITUTE(C261,"0x","")) - HEX2DEC(SUBSTITUTE(C260,"0x",""))+1</f>
        <v>11264</v>
      </c>
      <c r="F260" s="220" t="str">
        <f t="shared" ref="F260" si="220">"0x"&amp;DEC2HEX(E260, 5)</f>
        <v>0x02C00</v>
      </c>
    </row>
    <row r="261" spans="2:10">
      <c r="C261" s="190" t="str">
        <f>"0x"&amp;DEC2HEX(_xlfn.DECIMAL(SUBSTITUTE(C260,"0x",""),16) + I246 - 1)</f>
        <v>0x2424F</v>
      </c>
      <c r="D261" s="220"/>
      <c r="E261" s="220"/>
      <c r="F261" s="220"/>
    </row>
    <row r="262" spans="2:10">
      <c r="C262" s="79" t="s">
        <v>606</v>
      </c>
      <c r="D262" s="220" t="s">
        <v>504</v>
      </c>
      <c r="E262" s="220">
        <f t="shared" ref="E262" si="221">HEX2DEC(SUBSTITUTE(C263,"0x","")) - HEX2DEC(SUBSTITUTE(C262,"0x",""))+1</f>
        <v>13312</v>
      </c>
      <c r="F262" s="220" t="str">
        <f t="shared" ref="F262" si="222">"0x"&amp;DEC2HEX(E262, 5)</f>
        <v>0x03400</v>
      </c>
    </row>
    <row r="263" spans="2:10">
      <c r="C263" s="190" t="str">
        <f>"0x"&amp;DEC2HEX(_xlfn.DECIMAL(SUBSTITUTE(C262,"0x",""),16) + I249 - 1)</f>
        <v>0x2764F</v>
      </c>
      <c r="D263" s="220"/>
      <c r="E263" s="220"/>
      <c r="F263" s="220"/>
    </row>
    <row r="264" spans="2:10">
      <c r="C264" s="79" t="s">
        <v>607</v>
      </c>
      <c r="D264" s="220" t="s">
        <v>265</v>
      </c>
      <c r="E264" s="220">
        <f t="shared" ref="E264" si="223">HEX2DEC(SUBSTITUTE(C265,"0x","")) - HEX2DEC(SUBSTITUTE(C264,"0x",""))+1</f>
        <v>6496</v>
      </c>
      <c r="F264" s="220" t="str">
        <f t="shared" ref="F264" si="224">"0x"&amp;DEC2HEX(E264, 5)</f>
        <v>0x01960</v>
      </c>
    </row>
    <row r="265" spans="2:10">
      <c r="B265" s="79" t="s">
        <v>654</v>
      </c>
      <c r="C265" s="190" t="str">
        <f>"0x"&amp;DEC2HEX(_xlfn.DECIMAL(SUBSTITUTE(C264,"0x",""),16) + I247 - 1)</f>
        <v>0x28FAF</v>
      </c>
      <c r="D265" s="220"/>
      <c r="E265" s="220"/>
      <c r="F265" s="220"/>
    </row>
    <row r="266" spans="2:10">
      <c r="B266" s="79" t="str">
        <f>C266</f>
        <v>0x28FB0</v>
      </c>
      <c r="C266" s="79" t="s">
        <v>608</v>
      </c>
      <c r="D266" s="230" t="s">
        <v>516</v>
      </c>
      <c r="E266" s="220">
        <f t="shared" ref="E266" si="225">HEX2DEC(SUBSTITUTE(C267,"0x","")) - HEX2DEC(SUBSTITUTE(C266,"0x",""))+1</f>
        <v>512</v>
      </c>
      <c r="F266" s="220" t="str">
        <f t="shared" ref="F266" si="226">"0x"&amp;DEC2HEX(E266, 5)</f>
        <v>0x00200</v>
      </c>
    </row>
    <row r="267" spans="2:10">
      <c r="B267" s="190" t="str">
        <f>"0x"&amp;DEC2HEX(_xlfn.DECIMAL(SUBSTITUTE(B266,"0x",""),16) + I254 - 1)</f>
        <v>0x290AF</v>
      </c>
      <c r="C267" s="190" t="str">
        <f>"0x"&amp;DEC2HEX(_xlfn.DECIMAL(SUBSTITUTE(C266,"0x",""),16) + I253 - 1)</f>
        <v>0x291AF</v>
      </c>
      <c r="D267" s="231"/>
      <c r="E267" s="220"/>
      <c r="F267" s="220"/>
      <c r="H267" s="208" t="s">
        <v>655</v>
      </c>
      <c r="I267" s="208"/>
      <c r="J267" s="208"/>
    </row>
    <row r="268" spans="2:10">
      <c r="C268" s="79" t="s">
        <v>609</v>
      </c>
      <c r="D268" s="220" t="s">
        <v>485</v>
      </c>
      <c r="E268" s="220">
        <f t="shared" ref="E268" si="227">HEX2DEC(SUBSTITUTE(C269,"0x","")) - HEX2DEC(SUBSTITUTE(C268,"0x",""))+1</f>
        <v>65024</v>
      </c>
      <c r="F268" s="220" t="str">
        <f t="shared" ref="F268" si="228">"0x"&amp;DEC2HEX(E268, 5)</f>
        <v>0x0FE00</v>
      </c>
      <c r="H268" s="209" t="s">
        <v>490</v>
      </c>
      <c r="I268" s="210"/>
      <c r="J268" s="211"/>
    </row>
    <row r="269" spans="2:10">
      <c r="C269" s="190" t="str">
        <f>"0x"&amp;DEC2HEX(_xlfn.DECIMAL(SUBSTITUTE(C268,"0x",""),16) + I248 - 1)</f>
        <v>0x3EFFF</v>
      </c>
      <c r="D269" s="220"/>
      <c r="E269" s="220"/>
      <c r="F269" s="220"/>
      <c r="H269" s="212" t="s">
        <v>656</v>
      </c>
      <c r="I269" s="213"/>
      <c r="J269" s="214"/>
    </row>
    <row r="270" spans="2:10">
      <c r="C270" s="79" t="s">
        <v>256</v>
      </c>
      <c r="D270" s="224" t="s">
        <v>662</v>
      </c>
      <c r="E270" s="220">
        <f t="shared" ref="E270" si="229">HEX2DEC(SUBSTITUTE(C271,"0x","")) - HEX2DEC(SUBSTITUTE(C270,"0x",""))+1</f>
        <v>4092</v>
      </c>
      <c r="F270" s="220" t="str">
        <f t="shared" ref="F270" si="230">"0x"&amp;DEC2HEX(E270, 5)</f>
        <v>0x00FFC</v>
      </c>
      <c r="H270" s="215"/>
      <c r="I270" s="216"/>
      <c r="J270" s="217"/>
    </row>
    <row r="271" spans="2:10">
      <c r="C271" s="79" t="s">
        <v>257</v>
      </c>
      <c r="D271" s="224"/>
      <c r="E271" s="220"/>
      <c r="F271" s="220"/>
    </row>
    <row r="272" spans="2:10">
      <c r="C272" s="79" t="s">
        <v>482</v>
      </c>
      <c r="D272" s="220" t="s">
        <v>185</v>
      </c>
      <c r="E272" s="220">
        <f t="shared" ref="E272" si="231">HEX2DEC(SUBSTITUTE(C273,"0x","")) - HEX2DEC(SUBSTITUTE(C272,"0x",""))+1</f>
        <v>4</v>
      </c>
      <c r="F272" s="220" t="str">
        <f t="shared" ref="F272" si="232">"0x"&amp;DEC2HEX(E272, 5)</f>
        <v>0x00004</v>
      </c>
      <c r="H272" s="218" t="s">
        <v>483</v>
      </c>
      <c r="I272" s="218">
        <f>HEX2DEC(SUBSTITUTE(C273,"0x","")) - HEX2DEC(SUBSTITUTE(C248,"0x",""))+1</f>
        <v>233472</v>
      </c>
      <c r="J272" s="218" t="str">
        <f>"0x"&amp;DEC2HEX(I272, 5)</f>
        <v>0x39000</v>
      </c>
    </row>
    <row r="273" spans="3:10">
      <c r="C273" s="79" t="s">
        <v>258</v>
      </c>
      <c r="D273" s="220"/>
      <c r="E273" s="220"/>
      <c r="F273" s="220"/>
      <c r="H273" s="218"/>
      <c r="I273" s="218"/>
      <c r="J273" s="218"/>
    </row>
    <row r="275" spans="3:10">
      <c r="C275" s="225">
        <v>51931</v>
      </c>
      <c r="D275" s="225"/>
      <c r="E275" s="225"/>
      <c r="F275" s="225"/>
    </row>
    <row r="276" spans="3:10">
      <c r="C276" s="80" t="s">
        <v>537</v>
      </c>
      <c r="D276" s="80" t="s">
        <v>163</v>
      </c>
      <c r="E276" s="80" t="s">
        <v>492</v>
      </c>
      <c r="F276" s="80" t="s">
        <v>266</v>
      </c>
    </row>
    <row r="277" spans="3:10">
      <c r="C277" s="79" t="s">
        <v>165</v>
      </c>
      <c r="D277" s="226" t="s">
        <v>169</v>
      </c>
      <c r="E277" s="220">
        <f>HEX2DEC(SUBSTITUTE(C278,"0x","")) - HEX2DEC(SUBSTITUTE(C277,"0x",""))+1</f>
        <v>256</v>
      </c>
      <c r="F277" s="220" t="str">
        <f>"0x"&amp;DEC2HEX(E277, 5)</f>
        <v>0x00100</v>
      </c>
      <c r="H277" s="208" t="s">
        <v>484</v>
      </c>
      <c r="I277" s="208"/>
      <c r="J277" s="208"/>
    </row>
    <row r="278" spans="3:10">
      <c r="C278" s="79" t="s">
        <v>517</v>
      </c>
      <c r="D278" s="226"/>
      <c r="E278" s="220"/>
      <c r="F278" s="220"/>
      <c r="H278" s="193" t="s">
        <v>490</v>
      </c>
      <c r="I278" s="193" t="s">
        <v>164</v>
      </c>
      <c r="J278" s="193" t="s">
        <v>266</v>
      </c>
    </row>
    <row r="279" spans="3:10">
      <c r="C279" s="79" t="s">
        <v>443</v>
      </c>
      <c r="D279" s="224" t="s">
        <v>498</v>
      </c>
      <c r="E279" s="220">
        <f>HEX2DEC(SUBSTITUTE(C280,"0x","")) - HEX2DEC(SUBSTITUTE(C279,"0x",""))+1</f>
        <v>1792</v>
      </c>
      <c r="F279" s="220" t="str">
        <f t="shared" ref="F279" si="233">"0x"&amp;DEC2HEX(E279, 5)</f>
        <v>0x00700</v>
      </c>
      <c r="H279" s="138" t="s">
        <v>486</v>
      </c>
      <c r="I279" s="138">
        <v>4048</v>
      </c>
      <c r="J279" s="138" t="str">
        <f>"0x"&amp;DEC2HEX(I279, 5)</f>
        <v>0x00FD0</v>
      </c>
    </row>
    <row r="280" spans="3:10">
      <c r="C280" s="79" t="s">
        <v>635</v>
      </c>
      <c r="D280" s="224"/>
      <c r="E280" s="220"/>
      <c r="F280" s="220"/>
      <c r="H280" s="138" t="s">
        <v>487</v>
      </c>
      <c r="I280" s="138">
        <f>10 * 1024</f>
        <v>10240</v>
      </c>
      <c r="J280" s="138" t="str">
        <f t="shared" ref="J280:J284" si="234">"0x"&amp;DEC2HEX(I280, 5)</f>
        <v>0x02800</v>
      </c>
    </row>
    <row r="281" spans="3:10">
      <c r="C281" s="79" t="s">
        <v>638</v>
      </c>
      <c r="D281" s="224" t="s">
        <v>636</v>
      </c>
      <c r="E281" s="220">
        <f>HEX2DEC(SUBSTITUTE(C282,"0x","")) - HEX2DEC(SUBSTITUTE(C281,"0x",""))+1</f>
        <v>64</v>
      </c>
      <c r="F281" s="220" t="str">
        <f t="shared" ref="F281" si="235">"0x"&amp;DEC2HEX(E281, 5)</f>
        <v>0x00040</v>
      </c>
      <c r="H281" s="138" t="s">
        <v>488</v>
      </c>
      <c r="I281" s="138">
        <v>5728</v>
      </c>
      <c r="J281" s="138" t="str">
        <f t="shared" si="234"/>
        <v>0x01660</v>
      </c>
    </row>
    <row r="282" spans="3:10">
      <c r="C282" s="79" t="s">
        <v>639</v>
      </c>
      <c r="D282" s="224"/>
      <c r="E282" s="220"/>
      <c r="F282" s="220"/>
      <c r="H282" s="138" t="s">
        <v>489</v>
      </c>
      <c r="I282" s="138">
        <f>19 * 5 * 1024</f>
        <v>97280</v>
      </c>
      <c r="J282" s="138" t="str">
        <f t="shared" si="234"/>
        <v>0x17C00</v>
      </c>
    </row>
    <row r="283" spans="3:10">
      <c r="C283" s="79" t="s">
        <v>640</v>
      </c>
      <c r="D283" s="224" t="s">
        <v>637</v>
      </c>
      <c r="E283" s="220">
        <f>HEX2DEC(SUBSTITUTE(C284,"0x","")) - HEX2DEC(SUBSTITUTE(C283,"0x",""))+1</f>
        <v>192</v>
      </c>
      <c r="F283" s="220" t="str">
        <f t="shared" ref="F283" si="236">"0x"&amp;DEC2HEX(E283, 5)</f>
        <v>0x000C0</v>
      </c>
      <c r="H283" s="138" t="s">
        <v>491</v>
      </c>
      <c r="I283" s="138">
        <f xml:space="preserve"> 9 * 1024</f>
        <v>9216</v>
      </c>
      <c r="J283" s="138" t="str">
        <f t="shared" si="234"/>
        <v>0x02400</v>
      </c>
    </row>
    <row r="284" spans="3:10">
      <c r="C284" s="79" t="s">
        <v>534</v>
      </c>
      <c r="D284" s="224"/>
      <c r="E284" s="220"/>
      <c r="F284" s="220"/>
      <c r="H284" s="192" t="s">
        <v>621</v>
      </c>
      <c r="I284" s="192">
        <v>600</v>
      </c>
      <c r="J284" s="138" t="str">
        <f t="shared" si="234"/>
        <v>0x00258</v>
      </c>
    </row>
    <row r="285" spans="3:10">
      <c r="C285" s="79" t="s">
        <v>533</v>
      </c>
      <c r="D285" s="227" t="s">
        <v>263</v>
      </c>
      <c r="E285" s="220">
        <f t="shared" ref="E285" si="237">HEX2DEC(SUBSTITUTE(C286,"0x","")) - HEX2DEC(SUBSTITUTE(C285,"0x",""))+1</f>
        <v>4048</v>
      </c>
      <c r="F285" s="220" t="str">
        <f t="shared" ref="F285" si="238">"0x"&amp;DEC2HEX(E285, 5)</f>
        <v>0x00FD0</v>
      </c>
    </row>
    <row r="286" spans="3:10">
      <c r="C286" s="190" t="str">
        <f>"0x"&amp;DEC2HEX(_xlfn.DECIMAL(SUBSTITUTE(C285,"0x",""),16) + I279 - 1)</f>
        <v>0x177CF</v>
      </c>
      <c r="D286" s="228"/>
      <c r="E286" s="220"/>
      <c r="F286" s="220"/>
      <c r="H286" s="208" t="s">
        <v>514</v>
      </c>
      <c r="I286" s="208"/>
      <c r="J286" s="208"/>
    </row>
    <row r="287" spans="3:10">
      <c r="C287" s="79" t="s">
        <v>535</v>
      </c>
      <c r="D287" s="227" t="s">
        <v>264</v>
      </c>
      <c r="E287" s="220">
        <f t="shared" ref="E287" si="239">HEX2DEC(SUBSTITUTE(C288,"0x","")) - HEX2DEC(SUBSTITUTE(C287,"0x",""))+1</f>
        <v>10240</v>
      </c>
      <c r="F287" s="220" t="str">
        <f t="shared" ref="F287" si="240">"0x"&amp;DEC2HEX(E287, 5)</f>
        <v>0x02800</v>
      </c>
      <c r="H287" s="193" t="s">
        <v>490</v>
      </c>
      <c r="I287" s="193" t="s">
        <v>164</v>
      </c>
      <c r="J287" s="193" t="s">
        <v>266</v>
      </c>
    </row>
    <row r="288" spans="3:10">
      <c r="C288" s="190" t="str">
        <f>"0x"&amp;DEC2HEX(_xlfn.DECIMAL(SUBSTITUTE(C287,"0x",""),16) + I280 - 1)</f>
        <v>0x19FCF</v>
      </c>
      <c r="D288" s="228"/>
      <c r="E288" s="220"/>
      <c r="F288" s="220"/>
      <c r="H288" s="192" t="s">
        <v>242</v>
      </c>
      <c r="I288" s="192">
        <v>256</v>
      </c>
      <c r="J288" s="138" t="str">
        <f t="shared" ref="J288" si="241">"0x"&amp;DEC2HEX(I288, 5)</f>
        <v>0x00100</v>
      </c>
    </row>
    <row r="289" spans="3:10">
      <c r="C289" s="79" t="s">
        <v>631</v>
      </c>
      <c r="D289" s="227" t="s">
        <v>504</v>
      </c>
      <c r="E289" s="220">
        <f t="shared" ref="E289" si="242">HEX2DEC(SUBSTITUTE(C290,"0x","")) - HEX2DEC(SUBSTITUTE(C289,"0x",""))+1</f>
        <v>9216</v>
      </c>
      <c r="F289" s="220" t="str">
        <f t="shared" ref="F289" si="243">"0x"&amp;DEC2HEX(E289, 5)</f>
        <v>0x02400</v>
      </c>
      <c r="H289" s="138"/>
      <c r="I289" s="138"/>
      <c r="J289" s="138"/>
    </row>
    <row r="290" spans="3:10">
      <c r="C290" s="190" t="str">
        <f>"0x"&amp;DEC2HEX(_xlfn.DECIMAL(SUBSTITUTE(C289,"0x",""),16) + I283 - 1)</f>
        <v>0x1C3CF</v>
      </c>
      <c r="D290" s="228"/>
      <c r="E290" s="220"/>
      <c r="F290" s="220"/>
      <c r="H290" s="138"/>
      <c r="I290" s="138"/>
      <c r="J290" s="138"/>
    </row>
    <row r="291" spans="3:10">
      <c r="C291" s="79" t="s">
        <v>632</v>
      </c>
      <c r="D291" s="220" t="s">
        <v>265</v>
      </c>
      <c r="E291" s="220">
        <f t="shared" ref="E291" si="244">HEX2DEC(SUBSTITUTE(C292,"0x","")) - HEX2DEC(SUBSTITUTE(C291,"0x",""))+1</f>
        <v>5728</v>
      </c>
      <c r="F291" s="220" t="str">
        <f t="shared" ref="F291" si="245">"0x"&amp;DEC2HEX(E291, 5)</f>
        <v>0x01660</v>
      </c>
      <c r="H291" s="138"/>
      <c r="I291" s="138"/>
      <c r="J291" s="138"/>
    </row>
    <row r="292" spans="3:10">
      <c r="C292" s="190" t="str">
        <f>"0x"&amp;DEC2HEX(_xlfn.DECIMAL(SUBSTITUTE(C291,"0x",""),16) + I281 - 1)</f>
        <v>0x1DA2F</v>
      </c>
      <c r="D292" s="220"/>
      <c r="E292" s="220"/>
      <c r="F292" s="220"/>
      <c r="H292" s="138"/>
      <c r="I292" s="138"/>
      <c r="J292" s="138"/>
    </row>
    <row r="293" spans="3:10">
      <c r="C293" s="79" t="s">
        <v>633</v>
      </c>
      <c r="D293" s="226" t="s">
        <v>516</v>
      </c>
      <c r="E293" s="220">
        <f t="shared" ref="E293" si="246">HEX2DEC(SUBSTITUTE(C294,"0x","")) - HEX2DEC(SUBSTITUTE(C293,"0x",""))+1</f>
        <v>256</v>
      </c>
      <c r="F293" s="220" t="str">
        <f t="shared" ref="F293" si="247">"0x"&amp;DEC2HEX(E293, 5)</f>
        <v>0x00100</v>
      </c>
    </row>
    <row r="294" spans="3:10">
      <c r="C294" s="190" t="str">
        <f>"0x"&amp;DEC2HEX(_xlfn.DECIMAL(SUBSTITUTE(C293,"0x",""),16) + I288 - 1)</f>
        <v>0x1DB2F</v>
      </c>
      <c r="D294" s="226"/>
      <c r="E294" s="220"/>
      <c r="F294" s="220"/>
    </row>
    <row r="295" spans="3:10">
      <c r="C295" s="79" t="s">
        <v>502</v>
      </c>
      <c r="D295" s="220" t="s">
        <v>634</v>
      </c>
      <c r="E295" s="220">
        <f t="shared" ref="E295" si="248">HEX2DEC(SUBSTITUTE(C296,"0x","")) - HEX2DEC(SUBSTITUTE(C295,"0x",""))+1</f>
        <v>97280</v>
      </c>
      <c r="F295" s="220" t="str">
        <f t="shared" ref="F295" si="249">"0x"&amp;DEC2HEX(E295, 5)</f>
        <v>0x17C00</v>
      </c>
    </row>
    <row r="296" spans="3:10">
      <c r="C296" s="190" t="str">
        <f>"0x"&amp;DEC2HEX(_xlfn.DECIMAL(SUBSTITUTE(C295,"0x",""),16) + I282 - 1)</f>
        <v>0x3A3FF</v>
      </c>
      <c r="D296" s="220"/>
      <c r="E296" s="220"/>
      <c r="F296" s="220"/>
    </row>
    <row r="297" spans="3:10">
      <c r="C297" s="79" t="s">
        <v>471</v>
      </c>
      <c r="D297" s="224" t="s">
        <v>662</v>
      </c>
      <c r="E297" s="220">
        <f>HEX2DEC(SUBSTITUTE(C298,"0x","")) - HEX2DEC(SUBSTITUTE(C297,"0x",""))+1</f>
        <v>2048</v>
      </c>
      <c r="F297" s="220" t="str">
        <f>"0x"&amp;DEC2HEX(E297, 5)</f>
        <v>0x00800</v>
      </c>
    </row>
    <row r="298" spans="3:10">
      <c r="C298" s="79" t="s">
        <v>508</v>
      </c>
      <c r="D298" s="224"/>
      <c r="E298" s="220"/>
      <c r="F298" s="220"/>
    </row>
    <row r="299" spans="3:10">
      <c r="C299" s="79" t="s">
        <v>474</v>
      </c>
      <c r="D299" s="220" t="s">
        <v>185</v>
      </c>
      <c r="E299" s="220">
        <f>HEX2DEC(SUBSTITUTE(C300,"0x","")) - HEX2DEC(SUBSTITUTE(C299,"0x",""))+1</f>
        <v>4</v>
      </c>
      <c r="F299" s="220" t="str">
        <f>"0x"&amp;DEC2HEX(E299, 5)</f>
        <v>0x00004</v>
      </c>
    </row>
    <row r="300" spans="3:10">
      <c r="C300" s="79" t="s">
        <v>369</v>
      </c>
      <c r="D300" s="220"/>
      <c r="E300" s="220"/>
      <c r="F300" s="220"/>
    </row>
    <row r="301" spans="3:10">
      <c r="C301" s="79" t="s">
        <v>512</v>
      </c>
      <c r="D301" s="219" t="s">
        <v>261</v>
      </c>
      <c r="E301" s="220">
        <f t="shared" ref="E301" si="250">HEX2DEC(SUBSTITUTE(C302,"0x","")) - HEX2DEC(SUBSTITUTE(C301,"0x",""))+1</f>
        <v>8192</v>
      </c>
      <c r="F301" s="220" t="str">
        <f t="shared" ref="F301" si="251">"0x"&amp;DEC2HEX(E301, 5)</f>
        <v>0x02000</v>
      </c>
      <c r="H301" s="218" t="s">
        <v>483</v>
      </c>
      <c r="I301" s="218">
        <f>HEX2DEC(SUBSTITUTE(C300,"0x","")) - HEX2DEC(SUBSTITUTE(C277,"0x",""))+1</f>
        <v>245760</v>
      </c>
      <c r="J301" s="218" t="str">
        <f>"0x"&amp;DEC2HEX(I301, 5)</f>
        <v>0x3C000</v>
      </c>
    </row>
    <row r="302" spans="3:10">
      <c r="C302" s="79" t="s">
        <v>258</v>
      </c>
      <c r="D302" s="219"/>
      <c r="E302" s="220"/>
      <c r="F302" s="220"/>
      <c r="H302" s="218"/>
      <c r="I302" s="218"/>
      <c r="J302" s="218"/>
    </row>
    <row r="304" spans="3:10">
      <c r="C304" s="225" t="s">
        <v>589</v>
      </c>
      <c r="D304" s="225"/>
      <c r="E304" s="225"/>
      <c r="F304" s="225"/>
    </row>
    <row r="305" spans="3:10">
      <c r="C305" s="80" t="s">
        <v>537</v>
      </c>
      <c r="D305" s="80" t="s">
        <v>163</v>
      </c>
      <c r="E305" s="80" t="s">
        <v>164</v>
      </c>
      <c r="F305" s="80" t="s">
        <v>266</v>
      </c>
      <c r="H305" s="208" t="s">
        <v>484</v>
      </c>
      <c r="I305" s="208"/>
      <c r="J305" s="208"/>
    </row>
    <row r="306" spans="3:10">
      <c r="C306" s="79" t="s">
        <v>165</v>
      </c>
      <c r="D306" s="219" t="s">
        <v>565</v>
      </c>
      <c r="E306" s="220">
        <f>HEX2DEC(SUBSTITUTE(C307,"0x","")) - HEX2DEC(SUBSTITUTE(C306,"0x",""))+1</f>
        <v>40960</v>
      </c>
      <c r="F306" s="220" t="str">
        <f>"0x"&amp;DEC2HEX(E306, 5)</f>
        <v>0x0A000</v>
      </c>
      <c r="H306" s="193" t="s">
        <v>490</v>
      </c>
      <c r="I306" s="193" t="s">
        <v>164</v>
      </c>
      <c r="J306" s="193" t="s">
        <v>266</v>
      </c>
    </row>
    <row r="307" spans="3:10">
      <c r="C307" s="79" t="s">
        <v>167</v>
      </c>
      <c r="D307" s="219"/>
      <c r="E307" s="220"/>
      <c r="F307" s="220"/>
      <c r="H307" s="138" t="s">
        <v>486</v>
      </c>
      <c r="I307" s="138">
        <v>10768</v>
      </c>
      <c r="J307" s="138" t="str">
        <f>"0x"&amp;DEC2HEX(I307, 5)</f>
        <v>0x02A10</v>
      </c>
    </row>
    <row r="308" spans="3:10">
      <c r="C308" s="79" t="s">
        <v>569</v>
      </c>
      <c r="D308" s="226" t="s">
        <v>169</v>
      </c>
      <c r="E308" s="220">
        <f t="shared" ref="E308" si="252">HEX2DEC(SUBSTITUTE(C309,"0x","")) - HEX2DEC(SUBSTITUTE(C308,"0x",""))+1</f>
        <v>256</v>
      </c>
      <c r="F308" s="220" t="str">
        <f t="shared" ref="F308" si="253">"0x"&amp;DEC2HEX(E308, 5)</f>
        <v>0x00100</v>
      </c>
      <c r="H308" s="138" t="s">
        <v>487</v>
      </c>
      <c r="I308" s="138">
        <v>23552</v>
      </c>
      <c r="J308" s="138" t="str">
        <f t="shared" ref="J308:J311" si="254">"0x"&amp;DEC2HEX(I308, 5)</f>
        <v>0x05C00</v>
      </c>
    </row>
    <row r="309" spans="3:10">
      <c r="C309" s="79" t="s">
        <v>570</v>
      </c>
      <c r="D309" s="226"/>
      <c r="E309" s="220"/>
      <c r="F309" s="220"/>
      <c r="H309" s="138" t="s">
        <v>488</v>
      </c>
      <c r="I309" s="138">
        <v>8444</v>
      </c>
      <c r="J309" s="138" t="str">
        <f t="shared" si="254"/>
        <v>0x020FC</v>
      </c>
    </row>
    <row r="310" spans="3:10">
      <c r="C310" s="79" t="s">
        <v>571</v>
      </c>
      <c r="D310" s="226" t="s">
        <v>259</v>
      </c>
      <c r="E310" s="220">
        <f t="shared" ref="E310" si="255">HEX2DEC(SUBSTITUTE(C311,"0x","")) - HEX2DEC(SUBSTITUTE(C310,"0x",""))+1</f>
        <v>256</v>
      </c>
      <c r="F310" s="220" t="str">
        <f t="shared" ref="F310" si="256">"0x"&amp;DEC2HEX(E310, 5)</f>
        <v>0x00100</v>
      </c>
      <c r="H310" s="138" t="s">
        <v>489</v>
      </c>
      <c r="I310" s="138">
        <v>5120</v>
      </c>
      <c r="J310" s="138" t="str">
        <f t="shared" si="254"/>
        <v>0x01400</v>
      </c>
    </row>
    <row r="311" spans="3:10">
      <c r="C311" s="79" t="s">
        <v>572</v>
      </c>
      <c r="D311" s="226"/>
      <c r="E311" s="220"/>
      <c r="F311" s="220"/>
      <c r="H311" s="138" t="s">
        <v>491</v>
      </c>
      <c r="I311" s="138">
        <v>0</v>
      </c>
      <c r="J311" s="138" t="str">
        <f t="shared" si="254"/>
        <v>0x00000</v>
      </c>
    </row>
    <row r="312" spans="3:10">
      <c r="C312" s="79" t="s">
        <v>573</v>
      </c>
      <c r="D312" s="220" t="s">
        <v>175</v>
      </c>
      <c r="E312" s="220">
        <f t="shared" ref="E312" si="257">HEX2DEC(SUBSTITUTE(C313,"0x","")) - HEX2DEC(SUBSTITUTE(C312,"0x",""))+1</f>
        <v>98304</v>
      </c>
      <c r="F312" s="220" t="str">
        <f t="shared" ref="F312" si="258">"0x"&amp;DEC2HEX(E312, 5)</f>
        <v>0x18000</v>
      </c>
    </row>
    <row r="313" spans="3:10">
      <c r="C313" s="79" t="s">
        <v>176</v>
      </c>
      <c r="D313" s="220"/>
      <c r="E313" s="220"/>
      <c r="F313" s="220"/>
      <c r="H313" s="208" t="s">
        <v>514</v>
      </c>
      <c r="I313" s="208"/>
      <c r="J313" s="208"/>
    </row>
    <row r="314" spans="3:10">
      <c r="C314" s="79" t="s">
        <v>177</v>
      </c>
      <c r="D314" s="224" t="s">
        <v>498</v>
      </c>
      <c r="E314" s="220">
        <f t="shared" ref="E314" si="259">HEX2DEC(SUBSTITUTE(C315,"0x","")) - HEX2DEC(SUBSTITUTE(C314,"0x",""))+1</f>
        <v>1920</v>
      </c>
      <c r="F314" s="220" t="str">
        <f t="shared" ref="F314" si="260">"0x"&amp;DEC2HEX(E314, 5)</f>
        <v>0x00780</v>
      </c>
      <c r="H314" s="193" t="s">
        <v>490</v>
      </c>
      <c r="I314" s="193" t="s">
        <v>164</v>
      </c>
      <c r="J314" s="193" t="s">
        <v>266</v>
      </c>
    </row>
    <row r="315" spans="3:10">
      <c r="C315" s="79" t="s">
        <v>518</v>
      </c>
      <c r="D315" s="224"/>
      <c r="E315" s="220"/>
      <c r="F315" s="220"/>
      <c r="H315" s="192" t="s">
        <v>242</v>
      </c>
      <c r="I315" s="192">
        <v>512</v>
      </c>
      <c r="J315" s="138" t="str">
        <f t="shared" ref="J315" si="261">"0x"&amp;DEC2HEX(I315, 5)</f>
        <v>0x00200</v>
      </c>
    </row>
    <row r="316" spans="3:10">
      <c r="C316" s="79" t="s">
        <v>644</v>
      </c>
      <c r="D316" s="224" t="s">
        <v>500</v>
      </c>
      <c r="E316" s="220">
        <f t="shared" ref="E316" si="262">HEX2DEC(SUBSTITUTE(C317,"0x","")) - HEX2DEC(SUBSTITUTE(C316,"0x",""))+1</f>
        <v>128</v>
      </c>
      <c r="F316" s="220" t="str">
        <f t="shared" ref="F316" si="263">"0x"&amp;DEC2HEX(E316, 5)</f>
        <v>0x00080</v>
      </c>
      <c r="H316" s="138"/>
      <c r="I316" s="138"/>
      <c r="J316" s="138"/>
    </row>
    <row r="317" spans="3:10">
      <c r="C317" s="79" t="s">
        <v>645</v>
      </c>
      <c r="D317" s="224"/>
      <c r="E317" s="220"/>
      <c r="F317" s="220"/>
      <c r="H317" s="138"/>
      <c r="I317" s="138"/>
      <c r="J317" s="138"/>
    </row>
    <row r="318" spans="3:10">
      <c r="C318" s="79" t="s">
        <v>574</v>
      </c>
      <c r="D318" s="220" t="s">
        <v>263</v>
      </c>
      <c r="E318" s="220">
        <f t="shared" ref="E318" si="264">HEX2DEC(SUBSTITUTE(C319,"0x","")) - HEX2DEC(SUBSTITUTE(C318,"0x",""))+1</f>
        <v>10768</v>
      </c>
      <c r="F318" s="220" t="str">
        <f t="shared" ref="F318" si="265">"0x"&amp;DEC2HEX(E318, 5)</f>
        <v>0x02A10</v>
      </c>
      <c r="H318" s="138"/>
      <c r="I318" s="138"/>
      <c r="J318" s="138"/>
    </row>
    <row r="319" spans="3:10">
      <c r="C319" s="190" t="str">
        <f>"0x"&amp;DEC2HEX(_xlfn.DECIMAL(SUBSTITUTE(C318,"0x",""),16) + I307 - 1)</f>
        <v>0x2560F</v>
      </c>
      <c r="D319" s="220"/>
      <c r="E319" s="220"/>
      <c r="F319" s="220"/>
      <c r="H319" s="138"/>
      <c r="I319" s="138"/>
      <c r="J319" s="138"/>
    </row>
    <row r="320" spans="3:10">
      <c r="C320" s="79" t="s">
        <v>575</v>
      </c>
      <c r="D320" s="220" t="s">
        <v>264</v>
      </c>
      <c r="E320" s="220">
        <f t="shared" ref="E320" si="266">HEX2DEC(SUBSTITUTE(C321,"0x","")) - HEX2DEC(SUBSTITUTE(C320,"0x",""))+1</f>
        <v>23552</v>
      </c>
      <c r="F320" s="220" t="str">
        <f t="shared" ref="F320" si="267">"0x"&amp;DEC2HEX(E320, 5)</f>
        <v>0x05C00</v>
      </c>
    </row>
    <row r="321" spans="3:10">
      <c r="C321" s="190" t="str">
        <f>"0x"&amp;DEC2HEX(_xlfn.DECIMAL(SUBSTITUTE(C320,"0x",""),16) + I308 - 1)</f>
        <v>0x2B20F</v>
      </c>
      <c r="D321" s="220"/>
      <c r="E321" s="220"/>
      <c r="F321" s="220"/>
      <c r="H321" s="208" t="s">
        <v>594</v>
      </c>
      <c r="I321" s="208"/>
      <c r="J321" s="208"/>
    </row>
    <row r="322" spans="3:10">
      <c r="C322" s="79" t="s">
        <v>576</v>
      </c>
      <c r="D322" s="220" t="s">
        <v>265</v>
      </c>
      <c r="E322" s="220">
        <f t="shared" ref="E322" si="268">HEX2DEC(SUBSTITUTE(C323,"0x","")) - HEX2DEC(SUBSTITUTE(C322,"0x",""))+1</f>
        <v>8444</v>
      </c>
      <c r="F322" s="220" t="str">
        <f t="shared" ref="F322" si="269">"0x"&amp;DEC2HEX(E322, 5)</f>
        <v>0x020FC</v>
      </c>
      <c r="H322" s="221" t="s">
        <v>595</v>
      </c>
      <c r="I322" s="222"/>
      <c r="J322" s="223"/>
    </row>
    <row r="323" spans="3:10">
      <c r="C323" s="190" t="str">
        <f>"0x"&amp;DEC2HEX(_xlfn.DECIMAL(SUBSTITUTE(C322,"0x",""),16) + I309 - 1)</f>
        <v>0x2D30B</v>
      </c>
      <c r="D323" s="220"/>
      <c r="E323" s="220"/>
      <c r="F323" s="220"/>
    </row>
    <row r="324" spans="3:10">
      <c r="C324" s="79" t="s">
        <v>577</v>
      </c>
      <c r="D324" s="220" t="s">
        <v>516</v>
      </c>
      <c r="E324" s="220">
        <f t="shared" ref="E324" si="270">HEX2DEC(SUBSTITUTE(C325,"0x","")) - HEX2DEC(SUBSTITUTE(C324,"0x",""))+1</f>
        <v>512</v>
      </c>
      <c r="F324" s="220" t="str">
        <f t="shared" ref="F324" si="271">"0x"&amp;DEC2HEX(E324, 5)</f>
        <v>0x00200</v>
      </c>
    </row>
    <row r="325" spans="3:10">
      <c r="C325" s="190" t="str">
        <f>"0x"&amp;DEC2HEX(_xlfn.DECIMAL(SUBSTITUTE(C324,"0x",""),16) + I315 - 1)</f>
        <v>0x2D50B</v>
      </c>
      <c r="D325" s="220"/>
      <c r="E325" s="220"/>
      <c r="F325" s="220"/>
    </row>
    <row r="326" spans="3:10">
      <c r="C326" s="79" t="s">
        <v>578</v>
      </c>
      <c r="D326" s="220" t="s">
        <v>485</v>
      </c>
      <c r="E326" s="220">
        <f t="shared" ref="E326" si="272">HEX2DEC(SUBSTITUTE(C327,"0x","")) - HEX2DEC(SUBSTITUTE(C326,"0x",""))+1</f>
        <v>5120</v>
      </c>
      <c r="F326" s="220" t="str">
        <f t="shared" ref="F326" si="273">"0x"&amp;DEC2HEX(E326, 5)</f>
        <v>0x01400</v>
      </c>
    </row>
    <row r="327" spans="3:10">
      <c r="C327" s="190" t="str">
        <f>"0x"&amp;DEC2HEX(_xlfn.DECIMAL(SUBSTITUTE(C326,"0x",""),16) + I310 - 1)</f>
        <v>0x345FF</v>
      </c>
      <c r="D327" s="220"/>
      <c r="E327" s="220"/>
      <c r="F327" s="220"/>
    </row>
    <row r="328" spans="3:10">
      <c r="C328" s="194" t="s">
        <v>582</v>
      </c>
      <c r="D328" s="229" t="s">
        <v>493</v>
      </c>
      <c r="E328" s="229">
        <f t="shared" ref="E328" si="274">HEX2DEC(SUBSTITUTE(C329,"0x","")) - HEX2DEC(SUBSTITUTE(C328,"0x",""))+1</f>
        <v>6656</v>
      </c>
      <c r="F328" s="229" t="str">
        <f t="shared" ref="F328" si="275">"0x"&amp;DEC2HEX(E328, 5)</f>
        <v>0x01A00</v>
      </c>
    </row>
    <row r="329" spans="3:10">
      <c r="C329" s="194" t="s">
        <v>583</v>
      </c>
      <c r="D329" s="229"/>
      <c r="E329" s="229"/>
      <c r="F329" s="229"/>
    </row>
    <row r="330" spans="3:10">
      <c r="C330" s="79" t="s">
        <v>182</v>
      </c>
      <c r="D330" s="224" t="s">
        <v>662</v>
      </c>
      <c r="E330" s="220">
        <f t="shared" ref="E330" si="276">HEX2DEC(SUBSTITUTE(C331,"0x","")) - HEX2DEC(SUBSTITUTE(C330,"0x",""))+1</f>
        <v>4092</v>
      </c>
      <c r="F330" s="220" t="str">
        <f t="shared" ref="F330" si="277">"0x"&amp;DEC2HEX(E330, 5)</f>
        <v>0x00FFC</v>
      </c>
    </row>
    <row r="331" spans="3:10">
      <c r="C331" s="79" t="s">
        <v>184</v>
      </c>
      <c r="D331" s="224"/>
      <c r="E331" s="220"/>
      <c r="F331" s="220"/>
    </row>
    <row r="332" spans="3:10">
      <c r="C332" s="79" t="s">
        <v>579</v>
      </c>
      <c r="D332" s="220" t="s">
        <v>185</v>
      </c>
      <c r="E332" s="220">
        <f t="shared" ref="E332" si="278">HEX2DEC(SUBSTITUTE(C333,"0x","")) - HEX2DEC(SUBSTITUTE(C332,"0x",""))+1</f>
        <v>4</v>
      </c>
      <c r="F332" s="220" t="str">
        <f t="shared" ref="F332" si="279">"0x"&amp;DEC2HEX(E332, 5)</f>
        <v>0x00004</v>
      </c>
    </row>
    <row r="333" spans="3:10">
      <c r="C333" s="79" t="s">
        <v>186</v>
      </c>
      <c r="D333" s="220"/>
      <c r="E333" s="220"/>
      <c r="F333" s="220"/>
    </row>
    <row r="334" spans="3:10">
      <c r="C334" s="79" t="s">
        <v>187</v>
      </c>
      <c r="D334" s="220" t="s">
        <v>580</v>
      </c>
      <c r="E334" s="220">
        <f t="shared" ref="E334" si="280">HEX2DEC(SUBSTITUTE(C335,"0x","")) - HEX2DEC(SUBSTITUTE(C334,"0x",""))+1</f>
        <v>4096</v>
      </c>
      <c r="F334" s="220" t="str">
        <f t="shared" ref="F334" si="281">"0x"&amp;DEC2HEX(E334, 5)</f>
        <v>0x01000</v>
      </c>
    </row>
    <row r="335" spans="3:10">
      <c r="C335" s="79" t="s">
        <v>189</v>
      </c>
      <c r="D335" s="220"/>
      <c r="E335" s="220"/>
      <c r="F335" s="220"/>
    </row>
    <row r="336" spans="3:10">
      <c r="C336" s="79" t="s">
        <v>584</v>
      </c>
      <c r="D336" s="219" t="s">
        <v>587</v>
      </c>
      <c r="E336" s="220">
        <f t="shared" ref="E336" si="282">HEX2DEC(SUBSTITUTE(C337,"0x","")) - HEX2DEC(SUBSTITUTE(C336,"0x",""))+1</f>
        <v>32768</v>
      </c>
      <c r="F336" s="220" t="str">
        <f t="shared" ref="F336" si="283">"0x"&amp;DEC2HEX(E336, 5)</f>
        <v>0x08000</v>
      </c>
    </row>
    <row r="337" spans="3:10">
      <c r="C337" s="79" t="s">
        <v>258</v>
      </c>
      <c r="D337" s="219"/>
      <c r="E337" s="220"/>
      <c r="F337" s="220"/>
    </row>
    <row r="338" spans="3:10">
      <c r="C338" s="79" t="s">
        <v>566</v>
      </c>
      <c r="D338" s="219" t="s">
        <v>591</v>
      </c>
      <c r="E338" s="220">
        <f t="shared" ref="E338" si="284">HEX2DEC(SUBSTITUTE(C339,"0x","")) - HEX2DEC(SUBSTITUTE(C338,"0x",""))+1</f>
        <v>40960</v>
      </c>
      <c r="F338" s="220" t="str">
        <f t="shared" ref="F338" si="285">"0x"&amp;DEC2HEX(E338, 5)</f>
        <v>0x0A000</v>
      </c>
    </row>
    <row r="339" spans="3:10">
      <c r="C339" s="79" t="s">
        <v>588</v>
      </c>
      <c r="D339" s="219"/>
      <c r="E339" s="220"/>
      <c r="F339" s="220"/>
    </row>
    <row r="340" spans="3:10">
      <c r="C340" s="79" t="s">
        <v>592</v>
      </c>
      <c r="D340" s="219" t="s">
        <v>585</v>
      </c>
      <c r="E340" s="220">
        <f t="shared" ref="E340" si="286">HEX2DEC(SUBSTITUTE(C341,"0x","")) - HEX2DEC(SUBSTITUTE(C340,"0x",""))+1</f>
        <v>221184</v>
      </c>
      <c r="F340" s="220" t="str">
        <f t="shared" ref="F340" si="287">"0x"&amp;DEC2HEX(E340, 5)</f>
        <v>0x36000</v>
      </c>
      <c r="H340" s="218" t="s">
        <v>483</v>
      </c>
      <c r="I340" s="218">
        <f>HEX2DEC(SUBSTITUTE(C335,"0x","")) - HEX2DEC(SUBSTITUTE(C308,"0x",""))+1</f>
        <v>188416</v>
      </c>
      <c r="J340" s="218" t="str">
        <f>"0x"&amp;DEC2HEX(I340, 5)</f>
        <v>0x2E000</v>
      </c>
    </row>
    <row r="341" spans="3:10">
      <c r="C341" s="79" t="s">
        <v>593</v>
      </c>
      <c r="D341" s="219"/>
      <c r="E341" s="220"/>
      <c r="F341" s="220"/>
      <c r="H341" s="218"/>
      <c r="I341" s="218"/>
      <c r="J341" s="218"/>
    </row>
    <row r="343" spans="3:10">
      <c r="C343" s="225" t="s">
        <v>590</v>
      </c>
      <c r="D343" s="225"/>
      <c r="E343" s="225"/>
      <c r="F343" s="225"/>
    </row>
    <row r="344" spans="3:10">
      <c r="C344" s="80" t="s">
        <v>537</v>
      </c>
      <c r="D344" s="80" t="s">
        <v>163</v>
      </c>
      <c r="E344" s="80" t="s">
        <v>164</v>
      </c>
      <c r="F344" s="80" t="s">
        <v>266</v>
      </c>
      <c r="H344" s="208" t="s">
        <v>484</v>
      </c>
      <c r="I344" s="208"/>
      <c r="J344" s="208"/>
    </row>
    <row r="345" spans="3:10">
      <c r="C345" s="79" t="s">
        <v>165</v>
      </c>
      <c r="D345" s="219" t="s">
        <v>565</v>
      </c>
      <c r="E345" s="220">
        <f>HEX2DEC(SUBSTITUTE(C346,"0x","")) - HEX2DEC(SUBSTITUTE(C345,"0x",""))+1</f>
        <v>40960</v>
      </c>
      <c r="F345" s="220" t="str">
        <f>"0x"&amp;DEC2HEX(E345, 5)</f>
        <v>0x0A000</v>
      </c>
      <c r="H345" s="193" t="s">
        <v>490</v>
      </c>
      <c r="I345" s="193" t="s">
        <v>164</v>
      </c>
      <c r="J345" s="193" t="s">
        <v>266</v>
      </c>
    </row>
    <row r="346" spans="3:10">
      <c r="C346" s="79" t="s">
        <v>167</v>
      </c>
      <c r="D346" s="219"/>
      <c r="E346" s="220"/>
      <c r="F346" s="220"/>
      <c r="H346" s="138" t="s">
        <v>486</v>
      </c>
      <c r="I346" s="138">
        <v>10768</v>
      </c>
      <c r="J346" s="138" t="str">
        <f>"0x"&amp;DEC2HEX(I346, 5)</f>
        <v>0x02A10</v>
      </c>
    </row>
    <row r="347" spans="3:10">
      <c r="C347" s="79" t="s">
        <v>569</v>
      </c>
      <c r="D347" s="226" t="s">
        <v>169</v>
      </c>
      <c r="E347" s="220">
        <f t="shared" ref="E347" si="288">HEX2DEC(SUBSTITUTE(C348,"0x","")) - HEX2DEC(SUBSTITUTE(C347,"0x",""))+1</f>
        <v>256</v>
      </c>
      <c r="F347" s="220" t="str">
        <f t="shared" ref="F347" si="289">"0x"&amp;DEC2HEX(E347, 5)</f>
        <v>0x00100</v>
      </c>
      <c r="H347" s="138" t="s">
        <v>487</v>
      </c>
      <c r="I347" s="138">
        <v>23552</v>
      </c>
      <c r="J347" s="138" t="str">
        <f t="shared" ref="J347:J350" si="290">"0x"&amp;DEC2HEX(I347, 5)</f>
        <v>0x05C00</v>
      </c>
    </row>
    <row r="348" spans="3:10">
      <c r="C348" s="79" t="s">
        <v>570</v>
      </c>
      <c r="D348" s="226"/>
      <c r="E348" s="220"/>
      <c r="F348" s="220"/>
      <c r="H348" s="138" t="s">
        <v>488</v>
      </c>
      <c r="I348" s="138">
        <v>8444</v>
      </c>
      <c r="J348" s="138" t="str">
        <f t="shared" si="290"/>
        <v>0x020FC</v>
      </c>
    </row>
    <row r="349" spans="3:10">
      <c r="C349" s="79" t="s">
        <v>571</v>
      </c>
      <c r="D349" s="226" t="s">
        <v>259</v>
      </c>
      <c r="E349" s="220">
        <f t="shared" ref="E349" si="291">HEX2DEC(SUBSTITUTE(C350,"0x","")) - HEX2DEC(SUBSTITUTE(C349,"0x",""))+1</f>
        <v>256</v>
      </c>
      <c r="F349" s="220" t="str">
        <f t="shared" ref="F349" si="292">"0x"&amp;DEC2HEX(E349, 5)</f>
        <v>0x00100</v>
      </c>
      <c r="H349" s="138" t="s">
        <v>489</v>
      </c>
      <c r="I349" s="138">
        <v>5120</v>
      </c>
      <c r="J349" s="138" t="str">
        <f t="shared" si="290"/>
        <v>0x01400</v>
      </c>
    </row>
    <row r="350" spans="3:10">
      <c r="C350" s="79" t="s">
        <v>572</v>
      </c>
      <c r="D350" s="226"/>
      <c r="E350" s="220"/>
      <c r="F350" s="220"/>
      <c r="H350" s="138" t="s">
        <v>491</v>
      </c>
      <c r="I350" s="138">
        <v>0</v>
      </c>
      <c r="J350" s="138" t="str">
        <f t="shared" si="290"/>
        <v>0x00000</v>
      </c>
    </row>
    <row r="351" spans="3:10">
      <c r="C351" s="79" t="s">
        <v>573</v>
      </c>
      <c r="D351" s="220" t="s">
        <v>175</v>
      </c>
      <c r="E351" s="220">
        <f t="shared" ref="E351" si="293">HEX2DEC(SUBSTITUTE(C352,"0x","")) - HEX2DEC(SUBSTITUTE(C351,"0x",""))+1</f>
        <v>98304</v>
      </c>
      <c r="F351" s="220" t="str">
        <f t="shared" ref="F351" si="294">"0x"&amp;DEC2HEX(E351, 5)</f>
        <v>0x18000</v>
      </c>
    </row>
    <row r="352" spans="3:10">
      <c r="C352" s="79" t="s">
        <v>176</v>
      </c>
      <c r="D352" s="220"/>
      <c r="E352" s="220"/>
      <c r="F352" s="220"/>
      <c r="H352" s="208" t="s">
        <v>514</v>
      </c>
      <c r="I352" s="208"/>
      <c r="J352" s="208"/>
    </row>
    <row r="353" spans="3:10">
      <c r="C353" s="79" t="s">
        <v>177</v>
      </c>
      <c r="D353" s="224" t="s">
        <v>498</v>
      </c>
      <c r="E353" s="220">
        <f t="shared" ref="E353" si="295">HEX2DEC(SUBSTITUTE(C354,"0x","")) - HEX2DEC(SUBSTITUTE(C353,"0x",""))+1</f>
        <v>1920</v>
      </c>
      <c r="F353" s="220" t="str">
        <f t="shared" ref="F353" si="296">"0x"&amp;DEC2HEX(E353, 5)</f>
        <v>0x00780</v>
      </c>
      <c r="H353" s="193" t="s">
        <v>490</v>
      </c>
      <c r="I353" s="193" t="s">
        <v>164</v>
      </c>
      <c r="J353" s="193" t="s">
        <v>266</v>
      </c>
    </row>
    <row r="354" spans="3:10">
      <c r="C354" s="79" t="s">
        <v>518</v>
      </c>
      <c r="D354" s="224"/>
      <c r="E354" s="220"/>
      <c r="F354" s="220"/>
      <c r="H354" s="192" t="s">
        <v>242</v>
      </c>
      <c r="I354" s="192">
        <v>512</v>
      </c>
      <c r="J354" s="138" t="str">
        <f t="shared" ref="J354" si="297">"0x"&amp;DEC2HEX(I354, 5)</f>
        <v>0x00200</v>
      </c>
    </row>
    <row r="355" spans="3:10">
      <c r="C355" s="79" t="s">
        <v>644</v>
      </c>
      <c r="D355" s="224" t="s">
        <v>500</v>
      </c>
      <c r="E355" s="220">
        <f t="shared" ref="E355" si="298">HEX2DEC(SUBSTITUTE(C356,"0x","")) - HEX2DEC(SUBSTITUTE(C355,"0x",""))+1</f>
        <v>128</v>
      </c>
      <c r="F355" s="220" t="str">
        <f t="shared" ref="F355" si="299">"0x"&amp;DEC2HEX(E355, 5)</f>
        <v>0x00080</v>
      </c>
      <c r="H355" s="138"/>
      <c r="I355" s="138"/>
      <c r="J355" s="138"/>
    </row>
    <row r="356" spans="3:10">
      <c r="C356" s="79" t="s">
        <v>645</v>
      </c>
      <c r="D356" s="224"/>
      <c r="E356" s="220"/>
      <c r="F356" s="220"/>
      <c r="H356" s="138"/>
      <c r="I356" s="138"/>
      <c r="J356" s="138"/>
    </row>
    <row r="357" spans="3:10">
      <c r="C357" s="79" t="s">
        <v>574</v>
      </c>
      <c r="D357" s="220" t="s">
        <v>263</v>
      </c>
      <c r="E357" s="220">
        <f t="shared" ref="E357" si="300">HEX2DEC(SUBSTITUTE(C358,"0x","")) - HEX2DEC(SUBSTITUTE(C357,"0x",""))+1</f>
        <v>10768</v>
      </c>
      <c r="F357" s="220" t="str">
        <f t="shared" ref="F357" si="301">"0x"&amp;DEC2HEX(E357, 5)</f>
        <v>0x02A10</v>
      </c>
      <c r="H357" s="138"/>
      <c r="I357" s="138"/>
      <c r="J357" s="138"/>
    </row>
    <row r="358" spans="3:10">
      <c r="C358" s="190" t="str">
        <f>"0x"&amp;DEC2HEX(_xlfn.DECIMAL(SUBSTITUTE(C357,"0x",""),16) + I346 - 1)</f>
        <v>0x2560F</v>
      </c>
      <c r="D358" s="220"/>
      <c r="E358" s="220"/>
      <c r="F358" s="220"/>
      <c r="H358" s="138"/>
      <c r="I358" s="138"/>
      <c r="J358" s="138"/>
    </row>
    <row r="359" spans="3:10">
      <c r="C359" s="79" t="s">
        <v>575</v>
      </c>
      <c r="D359" s="220" t="s">
        <v>264</v>
      </c>
      <c r="E359" s="220">
        <f t="shared" ref="E359" si="302">HEX2DEC(SUBSTITUTE(C360,"0x","")) - HEX2DEC(SUBSTITUTE(C359,"0x",""))+1</f>
        <v>23552</v>
      </c>
      <c r="F359" s="220" t="str">
        <f t="shared" ref="F359" si="303">"0x"&amp;DEC2HEX(E359, 5)</f>
        <v>0x05C00</v>
      </c>
    </row>
    <row r="360" spans="3:10">
      <c r="C360" s="190" t="str">
        <f>"0x"&amp;DEC2HEX(_xlfn.DECIMAL(SUBSTITUTE(C359,"0x",""),16) + I347 - 1)</f>
        <v>0x2B20F</v>
      </c>
      <c r="D360" s="220"/>
      <c r="E360" s="220"/>
      <c r="F360" s="220"/>
      <c r="H360" s="208" t="s">
        <v>594</v>
      </c>
      <c r="I360" s="208"/>
      <c r="J360" s="208"/>
    </row>
    <row r="361" spans="3:10">
      <c r="C361" s="79" t="s">
        <v>576</v>
      </c>
      <c r="D361" s="220" t="s">
        <v>265</v>
      </c>
      <c r="E361" s="220">
        <f t="shared" ref="E361" si="304">HEX2DEC(SUBSTITUTE(C362,"0x","")) - HEX2DEC(SUBSTITUTE(C361,"0x",""))+1</f>
        <v>8444</v>
      </c>
      <c r="F361" s="220" t="str">
        <f t="shared" ref="F361" si="305">"0x"&amp;DEC2HEX(E361, 5)</f>
        <v>0x020FC</v>
      </c>
      <c r="H361" s="221" t="s">
        <v>595</v>
      </c>
      <c r="I361" s="222"/>
      <c r="J361" s="223"/>
    </row>
    <row r="362" spans="3:10">
      <c r="C362" s="190" t="str">
        <f>"0x"&amp;DEC2HEX(_xlfn.DECIMAL(SUBSTITUTE(C361,"0x",""),16) + I348 - 1)</f>
        <v>0x2D30B</v>
      </c>
      <c r="D362" s="220"/>
      <c r="E362" s="220"/>
      <c r="F362" s="220"/>
    </row>
    <row r="363" spans="3:10">
      <c r="C363" s="79" t="s">
        <v>577</v>
      </c>
      <c r="D363" s="220" t="s">
        <v>516</v>
      </c>
      <c r="E363" s="220">
        <f t="shared" ref="E363" si="306">HEX2DEC(SUBSTITUTE(C364,"0x","")) - HEX2DEC(SUBSTITUTE(C363,"0x",""))+1</f>
        <v>512</v>
      </c>
      <c r="F363" s="220" t="str">
        <f t="shared" ref="F363" si="307">"0x"&amp;DEC2HEX(E363, 5)</f>
        <v>0x00200</v>
      </c>
    </row>
    <row r="364" spans="3:10">
      <c r="C364" s="190" t="str">
        <f>"0x"&amp;DEC2HEX(_xlfn.DECIMAL(SUBSTITUTE(C363,"0x",""),16) + I354 - 1)</f>
        <v>0x2D50B</v>
      </c>
      <c r="D364" s="220"/>
      <c r="E364" s="220"/>
      <c r="F364" s="220"/>
    </row>
    <row r="365" spans="3:10">
      <c r="C365" s="79" t="s">
        <v>578</v>
      </c>
      <c r="D365" s="220" t="s">
        <v>485</v>
      </c>
      <c r="E365" s="220">
        <f t="shared" ref="E365" si="308">HEX2DEC(SUBSTITUTE(C366,"0x","")) - HEX2DEC(SUBSTITUTE(C365,"0x",""))+1</f>
        <v>5120</v>
      </c>
      <c r="F365" s="220" t="str">
        <f t="shared" ref="F365" si="309">"0x"&amp;DEC2HEX(E365, 5)</f>
        <v>0x01400</v>
      </c>
    </row>
    <row r="366" spans="3:10">
      <c r="C366" s="190" t="str">
        <f>"0x"&amp;DEC2HEX(_xlfn.DECIMAL(SUBSTITUTE(C365,"0x",""),16) + I349 - 1)</f>
        <v>0x345FF</v>
      </c>
      <c r="D366" s="220"/>
      <c r="E366" s="220"/>
      <c r="F366" s="220"/>
    </row>
    <row r="367" spans="3:10">
      <c r="C367" s="194" t="s">
        <v>582</v>
      </c>
      <c r="D367" s="229" t="s">
        <v>493</v>
      </c>
      <c r="E367" s="229">
        <f t="shared" ref="E367" si="310">HEX2DEC(SUBSTITUTE(C368,"0x","")) - HEX2DEC(SUBSTITUTE(C367,"0x",""))+1</f>
        <v>6656</v>
      </c>
      <c r="F367" s="229" t="str">
        <f t="shared" ref="F367" si="311">"0x"&amp;DEC2HEX(E367, 5)</f>
        <v>0x01A00</v>
      </c>
    </row>
    <row r="368" spans="3:10">
      <c r="C368" s="194" t="s">
        <v>583</v>
      </c>
      <c r="D368" s="229"/>
      <c r="E368" s="229"/>
      <c r="F368" s="229"/>
    </row>
    <row r="369" spans="3:10">
      <c r="C369" s="79" t="s">
        <v>182</v>
      </c>
      <c r="D369" s="224" t="s">
        <v>662</v>
      </c>
      <c r="E369" s="220">
        <f t="shared" ref="E369" si="312">HEX2DEC(SUBSTITUTE(C370,"0x","")) - HEX2DEC(SUBSTITUTE(C369,"0x",""))+1</f>
        <v>4092</v>
      </c>
      <c r="F369" s="220" t="str">
        <f t="shared" ref="F369" si="313">"0x"&amp;DEC2HEX(E369, 5)</f>
        <v>0x00FFC</v>
      </c>
    </row>
    <row r="370" spans="3:10">
      <c r="C370" s="79" t="s">
        <v>184</v>
      </c>
      <c r="D370" s="224"/>
      <c r="E370" s="220"/>
      <c r="F370" s="220"/>
    </row>
    <row r="371" spans="3:10">
      <c r="C371" s="79" t="s">
        <v>579</v>
      </c>
      <c r="D371" s="220" t="s">
        <v>185</v>
      </c>
      <c r="E371" s="220">
        <f t="shared" ref="E371" si="314">HEX2DEC(SUBSTITUTE(C372,"0x","")) - HEX2DEC(SUBSTITUTE(C371,"0x",""))+1</f>
        <v>4</v>
      </c>
      <c r="F371" s="220" t="str">
        <f t="shared" ref="F371" si="315">"0x"&amp;DEC2HEX(E371, 5)</f>
        <v>0x00004</v>
      </c>
    </row>
    <row r="372" spans="3:10">
      <c r="C372" s="79" t="s">
        <v>186</v>
      </c>
      <c r="D372" s="220"/>
      <c r="E372" s="220"/>
      <c r="F372" s="220"/>
    </row>
    <row r="373" spans="3:10">
      <c r="C373" s="79" t="s">
        <v>187</v>
      </c>
      <c r="D373" s="220" t="s">
        <v>580</v>
      </c>
      <c r="E373" s="220">
        <f t="shared" ref="E373" si="316">HEX2DEC(SUBSTITUTE(C374,"0x","")) - HEX2DEC(SUBSTITUTE(C373,"0x",""))+1</f>
        <v>4096</v>
      </c>
      <c r="F373" s="220" t="str">
        <f t="shared" ref="F373" si="317">"0x"&amp;DEC2HEX(E373, 5)</f>
        <v>0x01000</v>
      </c>
    </row>
    <row r="374" spans="3:10">
      <c r="C374" s="79" t="s">
        <v>189</v>
      </c>
      <c r="D374" s="220"/>
      <c r="E374" s="220"/>
      <c r="F374" s="220"/>
    </row>
    <row r="375" spans="3:10">
      <c r="C375" s="79" t="s">
        <v>584</v>
      </c>
      <c r="D375" s="219" t="s">
        <v>585</v>
      </c>
      <c r="E375" s="220">
        <f t="shared" ref="E375" si="318">HEX2DEC(SUBSTITUTE(C376,"0x","")) - HEX2DEC(SUBSTITUTE(C375,"0x",""))+1</f>
        <v>36864</v>
      </c>
      <c r="F375" s="220" t="str">
        <f t="shared" ref="F375" si="319">"0x"&amp;DEC2HEX(E375, 5)</f>
        <v>0x09000</v>
      </c>
    </row>
    <row r="376" spans="3:10">
      <c r="C376" s="79" t="s">
        <v>586</v>
      </c>
      <c r="D376" s="219"/>
      <c r="E376" s="220"/>
      <c r="F376" s="220"/>
    </row>
    <row r="377" spans="3:10">
      <c r="C377" s="79" t="s">
        <v>596</v>
      </c>
      <c r="D377" s="219" t="s">
        <v>598</v>
      </c>
      <c r="E377" s="220">
        <f t="shared" ref="E377" si="320">HEX2DEC(SUBSTITUTE(C378,"0x","")) - HEX2DEC(SUBSTITUTE(C377,"0x",""))+1</f>
        <v>114688</v>
      </c>
      <c r="F377" s="220" t="str">
        <f t="shared" ref="F377" si="321">"0x"&amp;DEC2HEX(E377, 5)</f>
        <v>0x1C000</v>
      </c>
    </row>
    <row r="378" spans="3:10">
      <c r="C378" s="79" t="s">
        <v>597</v>
      </c>
      <c r="D378" s="219"/>
      <c r="E378" s="220"/>
      <c r="F378" s="220"/>
    </row>
    <row r="379" spans="3:10">
      <c r="C379" s="79" t="s">
        <v>599</v>
      </c>
      <c r="D379" s="219" t="s">
        <v>585</v>
      </c>
      <c r="E379" s="220">
        <f t="shared" ref="E379" si="322">HEX2DEC(SUBSTITUTE(C380,"0x","")) - HEX2DEC(SUBSTITUTE(C379,"0x",""))+1</f>
        <v>143360</v>
      </c>
      <c r="F379" s="220" t="str">
        <f t="shared" ref="F379" si="323">"0x"&amp;DEC2HEX(E379, 5)</f>
        <v>0x23000</v>
      </c>
      <c r="H379" s="218" t="s">
        <v>483</v>
      </c>
      <c r="I379" s="218">
        <f>HEX2DEC(SUBSTITUTE(C374,"0x","")) - HEX2DEC(SUBSTITUTE(C347,"0x",""))+1</f>
        <v>188416</v>
      </c>
      <c r="J379" s="218" t="str">
        <f>"0x"&amp;DEC2HEX(I379, 5)</f>
        <v>0x2E000</v>
      </c>
    </row>
    <row r="380" spans="3:10">
      <c r="C380" s="79" t="s">
        <v>593</v>
      </c>
      <c r="D380" s="219"/>
      <c r="E380" s="220"/>
      <c r="F380" s="220"/>
      <c r="H380" s="218"/>
      <c r="I380" s="218"/>
      <c r="J380" s="218"/>
    </row>
  </sheetData>
  <mergeCells count="599">
    <mergeCell ref="D139:D140"/>
    <mergeCell ref="E139:E140"/>
    <mergeCell ref="F139:F140"/>
    <mergeCell ref="D141:D142"/>
    <mergeCell ref="E141:E142"/>
    <mergeCell ref="F141:F142"/>
    <mergeCell ref="D143:D144"/>
    <mergeCell ref="E143:E144"/>
    <mergeCell ref="F143:F144"/>
    <mergeCell ref="D127:D128"/>
    <mergeCell ref="E127:E128"/>
    <mergeCell ref="F127:F128"/>
    <mergeCell ref="D129:D130"/>
    <mergeCell ref="E129:E130"/>
    <mergeCell ref="F129:F130"/>
    <mergeCell ref="D137:D138"/>
    <mergeCell ref="E137:E138"/>
    <mergeCell ref="F137:F138"/>
    <mergeCell ref="D131:D132"/>
    <mergeCell ref="E131:E132"/>
    <mergeCell ref="F131:F132"/>
    <mergeCell ref="D133:D134"/>
    <mergeCell ref="E133:E134"/>
    <mergeCell ref="F133:F134"/>
    <mergeCell ref="D135:D136"/>
    <mergeCell ref="E135:E136"/>
    <mergeCell ref="F135:F136"/>
    <mergeCell ref="D121:D122"/>
    <mergeCell ref="E121:E122"/>
    <mergeCell ref="F121:F122"/>
    <mergeCell ref="D123:D124"/>
    <mergeCell ref="E123:E124"/>
    <mergeCell ref="F123:F124"/>
    <mergeCell ref="D125:D126"/>
    <mergeCell ref="E125:E126"/>
    <mergeCell ref="F125:F126"/>
    <mergeCell ref="D115:D116"/>
    <mergeCell ref="E115:E116"/>
    <mergeCell ref="F115:F116"/>
    <mergeCell ref="D117:D118"/>
    <mergeCell ref="E117:E118"/>
    <mergeCell ref="F117:F118"/>
    <mergeCell ref="H117:J117"/>
    <mergeCell ref="D119:D120"/>
    <mergeCell ref="E119:E120"/>
    <mergeCell ref="F119:F120"/>
    <mergeCell ref="C107:F107"/>
    <mergeCell ref="H108:J108"/>
    <mergeCell ref="D109:D110"/>
    <mergeCell ref="E109:E110"/>
    <mergeCell ref="F109:F110"/>
    <mergeCell ref="D111:D112"/>
    <mergeCell ref="E111:E112"/>
    <mergeCell ref="F111:F112"/>
    <mergeCell ref="D113:D114"/>
    <mergeCell ref="E113:E114"/>
    <mergeCell ref="F113:F114"/>
    <mergeCell ref="D192:D193"/>
    <mergeCell ref="E192:E193"/>
    <mergeCell ref="F192:F193"/>
    <mergeCell ref="D194:D195"/>
    <mergeCell ref="E194:E195"/>
    <mergeCell ref="F194:F195"/>
    <mergeCell ref="D96:D97"/>
    <mergeCell ref="E96:E97"/>
    <mergeCell ref="F96:F97"/>
    <mergeCell ref="D168:D169"/>
    <mergeCell ref="E168:E169"/>
    <mergeCell ref="F168:F169"/>
    <mergeCell ref="D170:D171"/>
    <mergeCell ref="E170:E171"/>
    <mergeCell ref="F170:F171"/>
    <mergeCell ref="D164:D165"/>
    <mergeCell ref="E164:E165"/>
    <mergeCell ref="F164:F165"/>
    <mergeCell ref="D166:D167"/>
    <mergeCell ref="E166:E167"/>
    <mergeCell ref="F166:F167"/>
    <mergeCell ref="D156:D157"/>
    <mergeCell ref="E156:E157"/>
    <mergeCell ref="F156:F157"/>
    <mergeCell ref="D324:D325"/>
    <mergeCell ref="E324:E325"/>
    <mergeCell ref="F324:F325"/>
    <mergeCell ref="D326:D327"/>
    <mergeCell ref="E326:E327"/>
    <mergeCell ref="F326:F327"/>
    <mergeCell ref="D320:D321"/>
    <mergeCell ref="E320:E321"/>
    <mergeCell ref="F320:F321"/>
    <mergeCell ref="D322:D323"/>
    <mergeCell ref="E322:E323"/>
    <mergeCell ref="F322:F323"/>
    <mergeCell ref="D314:D315"/>
    <mergeCell ref="E314:E315"/>
    <mergeCell ref="F314:F315"/>
    <mergeCell ref="D318:D319"/>
    <mergeCell ref="E318:E319"/>
    <mergeCell ref="F318:F319"/>
    <mergeCell ref="D310:D311"/>
    <mergeCell ref="E310:E311"/>
    <mergeCell ref="F310:F311"/>
    <mergeCell ref="D312:D313"/>
    <mergeCell ref="E312:E313"/>
    <mergeCell ref="F312:F313"/>
    <mergeCell ref="D316:D317"/>
    <mergeCell ref="E316:E317"/>
    <mergeCell ref="F316:F317"/>
    <mergeCell ref="C304:F304"/>
    <mergeCell ref="D306:D307"/>
    <mergeCell ref="E306:E307"/>
    <mergeCell ref="F306:F307"/>
    <mergeCell ref="D308:D309"/>
    <mergeCell ref="E308:E309"/>
    <mergeCell ref="F308:F309"/>
    <mergeCell ref="D262:D263"/>
    <mergeCell ref="E262:E263"/>
    <mergeCell ref="F262:F263"/>
    <mergeCell ref="D264:D265"/>
    <mergeCell ref="E264:E265"/>
    <mergeCell ref="F264:F265"/>
    <mergeCell ref="D272:D273"/>
    <mergeCell ref="E272:E273"/>
    <mergeCell ref="F272:F273"/>
    <mergeCell ref="C275:F275"/>
    <mergeCell ref="D277:D278"/>
    <mergeCell ref="E277:E278"/>
    <mergeCell ref="F277:F278"/>
    <mergeCell ref="D289:D290"/>
    <mergeCell ref="E289:E290"/>
    <mergeCell ref="F289:F290"/>
    <mergeCell ref="D297:D298"/>
    <mergeCell ref="D256:D257"/>
    <mergeCell ref="E256:E257"/>
    <mergeCell ref="F256:F257"/>
    <mergeCell ref="D260:D261"/>
    <mergeCell ref="E260:E261"/>
    <mergeCell ref="F260:F261"/>
    <mergeCell ref="D252:D253"/>
    <mergeCell ref="E252:E253"/>
    <mergeCell ref="F252:F253"/>
    <mergeCell ref="D254:D255"/>
    <mergeCell ref="E254:E255"/>
    <mergeCell ref="F254:F255"/>
    <mergeCell ref="D258:D259"/>
    <mergeCell ref="E258:E259"/>
    <mergeCell ref="F258:F259"/>
    <mergeCell ref="D248:D249"/>
    <mergeCell ref="E248:E249"/>
    <mergeCell ref="F248:F249"/>
    <mergeCell ref="D250:D251"/>
    <mergeCell ref="E250:E251"/>
    <mergeCell ref="F250:F251"/>
    <mergeCell ref="C242:F242"/>
    <mergeCell ref="D244:D245"/>
    <mergeCell ref="E244:E245"/>
    <mergeCell ref="F244:F245"/>
    <mergeCell ref="D246:D247"/>
    <mergeCell ref="E246:E247"/>
    <mergeCell ref="F246:F247"/>
    <mergeCell ref="D237:D238"/>
    <mergeCell ref="E237:E238"/>
    <mergeCell ref="F237:F238"/>
    <mergeCell ref="D229:D230"/>
    <mergeCell ref="E229:E230"/>
    <mergeCell ref="F229:F230"/>
    <mergeCell ref="D233:D234"/>
    <mergeCell ref="E233:E234"/>
    <mergeCell ref="F233:F234"/>
    <mergeCell ref="D227:D228"/>
    <mergeCell ref="E227:E228"/>
    <mergeCell ref="F227:F228"/>
    <mergeCell ref="E217:E218"/>
    <mergeCell ref="F217:F218"/>
    <mergeCell ref="D219:D220"/>
    <mergeCell ref="E219:E220"/>
    <mergeCell ref="F219:F220"/>
    <mergeCell ref="D235:D236"/>
    <mergeCell ref="E235:E236"/>
    <mergeCell ref="F235:F236"/>
    <mergeCell ref="D221:D222"/>
    <mergeCell ref="E221:E222"/>
    <mergeCell ref="F221:F222"/>
    <mergeCell ref="D223:D224"/>
    <mergeCell ref="E223:E224"/>
    <mergeCell ref="F223:F224"/>
    <mergeCell ref="D217:D218"/>
    <mergeCell ref="C211:F211"/>
    <mergeCell ref="D213:D214"/>
    <mergeCell ref="E213:E214"/>
    <mergeCell ref="F213:F214"/>
    <mergeCell ref="D215:D216"/>
    <mergeCell ref="E215:E216"/>
    <mergeCell ref="F215:F216"/>
    <mergeCell ref="D225:D226"/>
    <mergeCell ref="E225:E226"/>
    <mergeCell ref="F225:F226"/>
    <mergeCell ref="D162:D163"/>
    <mergeCell ref="E162:E163"/>
    <mergeCell ref="F162:F163"/>
    <mergeCell ref="D152:D153"/>
    <mergeCell ref="E152:E153"/>
    <mergeCell ref="F152:F153"/>
    <mergeCell ref="D154:D155"/>
    <mergeCell ref="E154:E155"/>
    <mergeCell ref="F154:F155"/>
    <mergeCell ref="D158:D159"/>
    <mergeCell ref="E158:E159"/>
    <mergeCell ref="F158:F159"/>
    <mergeCell ref="D160:D161"/>
    <mergeCell ref="E160:E161"/>
    <mergeCell ref="F160:F161"/>
    <mergeCell ref="C146:F146"/>
    <mergeCell ref="D148:D149"/>
    <mergeCell ref="E148:E149"/>
    <mergeCell ref="F148:F149"/>
    <mergeCell ref="D150:D151"/>
    <mergeCell ref="E150:E151"/>
    <mergeCell ref="F150:F151"/>
    <mergeCell ref="D88:D89"/>
    <mergeCell ref="E88:E89"/>
    <mergeCell ref="F88:F89"/>
    <mergeCell ref="D90:D91"/>
    <mergeCell ref="E90:E91"/>
    <mergeCell ref="F90:F91"/>
    <mergeCell ref="D100:D101"/>
    <mergeCell ref="E100:E101"/>
    <mergeCell ref="F100:F101"/>
    <mergeCell ref="D102:D103"/>
    <mergeCell ref="E102:E103"/>
    <mergeCell ref="F102:F103"/>
    <mergeCell ref="D104:D105"/>
    <mergeCell ref="E104:E105"/>
    <mergeCell ref="F104:F105"/>
    <mergeCell ref="D98:D99"/>
    <mergeCell ref="E98:E99"/>
    <mergeCell ref="F51:F52"/>
    <mergeCell ref="C68:F68"/>
    <mergeCell ref="D70:D71"/>
    <mergeCell ref="E70:E71"/>
    <mergeCell ref="F70:F71"/>
    <mergeCell ref="D72:D73"/>
    <mergeCell ref="E72:E73"/>
    <mergeCell ref="F72:F73"/>
    <mergeCell ref="D84:D85"/>
    <mergeCell ref="E84:E85"/>
    <mergeCell ref="F84:F85"/>
    <mergeCell ref="D80:D81"/>
    <mergeCell ref="E80:E81"/>
    <mergeCell ref="F80:F81"/>
    <mergeCell ref="D82:D83"/>
    <mergeCell ref="E82:E83"/>
    <mergeCell ref="F82:F83"/>
    <mergeCell ref="D78:D79"/>
    <mergeCell ref="E78:E79"/>
    <mergeCell ref="F78:F79"/>
    <mergeCell ref="C2:F2"/>
    <mergeCell ref="D22:D23"/>
    <mergeCell ref="D24:D25"/>
    <mergeCell ref="E8:E9"/>
    <mergeCell ref="F8:F9"/>
    <mergeCell ref="E10:E11"/>
    <mergeCell ref="F10:F11"/>
    <mergeCell ref="E12:E13"/>
    <mergeCell ref="D8:D9"/>
    <mergeCell ref="D10:D11"/>
    <mergeCell ref="D12:D13"/>
    <mergeCell ref="D14:D15"/>
    <mergeCell ref="D16:D17"/>
    <mergeCell ref="D18:D19"/>
    <mergeCell ref="E18:E19"/>
    <mergeCell ref="F18:F19"/>
    <mergeCell ref="E4:E5"/>
    <mergeCell ref="F4:F5"/>
    <mergeCell ref="D20:D21"/>
    <mergeCell ref="D4:D5"/>
    <mergeCell ref="F12:F13"/>
    <mergeCell ref="E14:E15"/>
    <mergeCell ref="F14:F15"/>
    <mergeCell ref="E16:E17"/>
    <mergeCell ref="C33:F33"/>
    <mergeCell ref="D35:D36"/>
    <mergeCell ref="E35:E36"/>
    <mergeCell ref="F35:F36"/>
    <mergeCell ref="D37:D38"/>
    <mergeCell ref="E37:E38"/>
    <mergeCell ref="F37:F38"/>
    <mergeCell ref="D43:D44"/>
    <mergeCell ref="E43:E44"/>
    <mergeCell ref="F43:F44"/>
    <mergeCell ref="H228:J228"/>
    <mergeCell ref="H229:J236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D59:D60"/>
    <mergeCell ref="E59:E60"/>
    <mergeCell ref="F59:F60"/>
    <mergeCell ref="D47:D48"/>
    <mergeCell ref="E47:E48"/>
    <mergeCell ref="F47:F48"/>
    <mergeCell ref="D49:D50"/>
    <mergeCell ref="E49:E50"/>
    <mergeCell ref="F49:F50"/>
    <mergeCell ref="E55:E56"/>
    <mergeCell ref="F55:F56"/>
    <mergeCell ref="D51:D52"/>
    <mergeCell ref="E51:E52"/>
    <mergeCell ref="H43:J43"/>
    <mergeCell ref="H147:J147"/>
    <mergeCell ref="H156:J156"/>
    <mergeCell ref="H65:H66"/>
    <mergeCell ref="I65:I66"/>
    <mergeCell ref="J65:J66"/>
    <mergeCell ref="H104:H105"/>
    <mergeCell ref="I104:I105"/>
    <mergeCell ref="J104:J105"/>
    <mergeCell ref="H69:J69"/>
    <mergeCell ref="H78:J78"/>
    <mergeCell ref="H86:J86"/>
    <mergeCell ref="H87:J87"/>
    <mergeCell ref="H88:J89"/>
    <mergeCell ref="H90:J91"/>
    <mergeCell ref="H92:J93"/>
    <mergeCell ref="H143:H144"/>
    <mergeCell ref="I143:I144"/>
    <mergeCell ref="J143:J144"/>
    <mergeCell ref="H212:J212"/>
    <mergeCell ref="D239:D240"/>
    <mergeCell ref="E239:E240"/>
    <mergeCell ref="F239:F240"/>
    <mergeCell ref="H239:H240"/>
    <mergeCell ref="I239:I240"/>
    <mergeCell ref="J239:J240"/>
    <mergeCell ref="H34:J34"/>
    <mergeCell ref="D53:D54"/>
    <mergeCell ref="E53:E54"/>
    <mergeCell ref="F53:F54"/>
    <mergeCell ref="D57:D58"/>
    <mergeCell ref="E57:E58"/>
    <mergeCell ref="F57:F58"/>
    <mergeCell ref="D61:D62"/>
    <mergeCell ref="E61:E62"/>
    <mergeCell ref="F61:F62"/>
    <mergeCell ref="D63:D64"/>
    <mergeCell ref="E63:E64"/>
    <mergeCell ref="F63:F64"/>
    <mergeCell ref="D65:D66"/>
    <mergeCell ref="E65:E66"/>
    <mergeCell ref="F65:F66"/>
    <mergeCell ref="D55:D56"/>
    <mergeCell ref="F98:F99"/>
    <mergeCell ref="D92:D93"/>
    <mergeCell ref="E92:E93"/>
    <mergeCell ref="F92:F93"/>
    <mergeCell ref="D94:D95"/>
    <mergeCell ref="E94:E95"/>
    <mergeCell ref="F94:F95"/>
    <mergeCell ref="D74:D75"/>
    <mergeCell ref="E74:E75"/>
    <mergeCell ref="F74:F75"/>
    <mergeCell ref="D76:D77"/>
    <mergeCell ref="E76:E77"/>
    <mergeCell ref="F76:F77"/>
    <mergeCell ref="D86:D87"/>
    <mergeCell ref="E86:E87"/>
    <mergeCell ref="F86:F87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D178:D179"/>
    <mergeCell ref="E178:E179"/>
    <mergeCell ref="F178:F179"/>
    <mergeCell ref="D180:D181"/>
    <mergeCell ref="E180:E181"/>
    <mergeCell ref="F180:F181"/>
    <mergeCell ref="D182:D183"/>
    <mergeCell ref="E182:E183"/>
    <mergeCell ref="F182:F183"/>
    <mergeCell ref="D190:D191"/>
    <mergeCell ref="E190:E191"/>
    <mergeCell ref="F190:F191"/>
    <mergeCell ref="D184:D185"/>
    <mergeCell ref="E184:E185"/>
    <mergeCell ref="F184:F185"/>
    <mergeCell ref="D186:D187"/>
    <mergeCell ref="E186:E187"/>
    <mergeCell ref="F186:F187"/>
    <mergeCell ref="D188:D189"/>
    <mergeCell ref="E188:E189"/>
    <mergeCell ref="F188:F189"/>
    <mergeCell ref="D206:D207"/>
    <mergeCell ref="E206:E207"/>
    <mergeCell ref="F206:F207"/>
    <mergeCell ref="D196:D197"/>
    <mergeCell ref="E196:E197"/>
    <mergeCell ref="F196:F197"/>
    <mergeCell ref="D198:D199"/>
    <mergeCell ref="E198:E199"/>
    <mergeCell ref="F198:F199"/>
    <mergeCell ref="D200:D201"/>
    <mergeCell ref="E200:E201"/>
    <mergeCell ref="F200:F201"/>
    <mergeCell ref="D202:D203"/>
    <mergeCell ref="E202:E203"/>
    <mergeCell ref="F202:F203"/>
    <mergeCell ref="D204:D205"/>
    <mergeCell ref="E204:E205"/>
    <mergeCell ref="F204:F205"/>
    <mergeCell ref="I208:I209"/>
    <mergeCell ref="J208:J209"/>
    <mergeCell ref="H305:J305"/>
    <mergeCell ref="H313:J313"/>
    <mergeCell ref="D328:D329"/>
    <mergeCell ref="E328:E329"/>
    <mergeCell ref="F328:F329"/>
    <mergeCell ref="H321:J321"/>
    <mergeCell ref="H322:J322"/>
    <mergeCell ref="H243:J243"/>
    <mergeCell ref="H251:J251"/>
    <mergeCell ref="D266:D267"/>
    <mergeCell ref="E266:E267"/>
    <mergeCell ref="F266:F267"/>
    <mergeCell ref="D268:D269"/>
    <mergeCell ref="E268:E269"/>
    <mergeCell ref="F268:F269"/>
    <mergeCell ref="D270:D271"/>
    <mergeCell ref="E270:E271"/>
    <mergeCell ref="F270:F271"/>
    <mergeCell ref="H220:J220"/>
    <mergeCell ref="D231:D232"/>
    <mergeCell ref="E231:E232"/>
    <mergeCell ref="F231:F232"/>
    <mergeCell ref="D330:D331"/>
    <mergeCell ref="E330:E331"/>
    <mergeCell ref="F330:F331"/>
    <mergeCell ref="D332:D333"/>
    <mergeCell ref="E332:E333"/>
    <mergeCell ref="F332:F333"/>
    <mergeCell ref="D334:D335"/>
    <mergeCell ref="E334:E335"/>
    <mergeCell ref="F334:F335"/>
    <mergeCell ref="E345:E346"/>
    <mergeCell ref="F345:F346"/>
    <mergeCell ref="D347:D348"/>
    <mergeCell ref="E347:E348"/>
    <mergeCell ref="F347:F348"/>
    <mergeCell ref="D338:D339"/>
    <mergeCell ref="E338:E339"/>
    <mergeCell ref="F338:F339"/>
    <mergeCell ref="D340:D341"/>
    <mergeCell ref="E340:E341"/>
    <mergeCell ref="F340:F341"/>
    <mergeCell ref="D208:D209"/>
    <mergeCell ref="E208:E209"/>
    <mergeCell ref="F208:F209"/>
    <mergeCell ref="H208:H209"/>
    <mergeCell ref="D361:D362"/>
    <mergeCell ref="E361:E362"/>
    <mergeCell ref="F361:F362"/>
    <mergeCell ref="E369:E370"/>
    <mergeCell ref="F369:F370"/>
    <mergeCell ref="D363:D364"/>
    <mergeCell ref="E363:E364"/>
    <mergeCell ref="F363:F364"/>
    <mergeCell ref="D365:D366"/>
    <mergeCell ref="E365:E366"/>
    <mergeCell ref="F365:F366"/>
    <mergeCell ref="D367:D368"/>
    <mergeCell ref="E367:E368"/>
    <mergeCell ref="F367:F368"/>
    <mergeCell ref="D355:D356"/>
    <mergeCell ref="E355:E356"/>
    <mergeCell ref="F355:F356"/>
    <mergeCell ref="D357:D358"/>
    <mergeCell ref="E357:E358"/>
    <mergeCell ref="F357:F358"/>
    <mergeCell ref="H4:J4"/>
    <mergeCell ref="H13:J13"/>
    <mergeCell ref="D6:D7"/>
    <mergeCell ref="E6:E7"/>
    <mergeCell ref="F6:F7"/>
    <mergeCell ref="D26:D27"/>
    <mergeCell ref="E26:E27"/>
    <mergeCell ref="F26:F27"/>
    <mergeCell ref="H30:H31"/>
    <mergeCell ref="I30:I31"/>
    <mergeCell ref="J30:J31"/>
    <mergeCell ref="D28:D29"/>
    <mergeCell ref="E28:E29"/>
    <mergeCell ref="F28:F29"/>
    <mergeCell ref="D30:D31"/>
    <mergeCell ref="E30:E31"/>
    <mergeCell ref="F30:F31"/>
    <mergeCell ref="F16:F17"/>
    <mergeCell ref="E20:E21"/>
    <mergeCell ref="F20:F21"/>
    <mergeCell ref="E22:E23"/>
    <mergeCell ref="F22:F23"/>
    <mergeCell ref="E24:E25"/>
    <mergeCell ref="F24:F25"/>
    <mergeCell ref="D279:D280"/>
    <mergeCell ref="E279:E280"/>
    <mergeCell ref="F279:F280"/>
    <mergeCell ref="D285:D286"/>
    <mergeCell ref="E285:E286"/>
    <mergeCell ref="F285:F286"/>
    <mergeCell ref="D287:D288"/>
    <mergeCell ref="E287:E288"/>
    <mergeCell ref="F287:F288"/>
    <mergeCell ref="D281:D282"/>
    <mergeCell ref="E281:E282"/>
    <mergeCell ref="F281:F282"/>
    <mergeCell ref="D283:D284"/>
    <mergeCell ref="E283:E284"/>
    <mergeCell ref="F283:F284"/>
    <mergeCell ref="D291:D292"/>
    <mergeCell ref="E291:E292"/>
    <mergeCell ref="F291:F292"/>
    <mergeCell ref="D293:D294"/>
    <mergeCell ref="E293:E294"/>
    <mergeCell ref="F293:F294"/>
    <mergeCell ref="D295:D296"/>
    <mergeCell ref="E295:E296"/>
    <mergeCell ref="F295:F296"/>
    <mergeCell ref="D377:D378"/>
    <mergeCell ref="E377:E378"/>
    <mergeCell ref="F377:F378"/>
    <mergeCell ref="D379:D380"/>
    <mergeCell ref="E379:E380"/>
    <mergeCell ref="F379:F380"/>
    <mergeCell ref="D369:D370"/>
    <mergeCell ref="E297:E298"/>
    <mergeCell ref="F297:F298"/>
    <mergeCell ref="D299:D300"/>
    <mergeCell ref="E299:E300"/>
    <mergeCell ref="F299:F300"/>
    <mergeCell ref="D371:D372"/>
    <mergeCell ref="E371:E372"/>
    <mergeCell ref="F371:F372"/>
    <mergeCell ref="D373:D374"/>
    <mergeCell ref="E373:E374"/>
    <mergeCell ref="F373:F374"/>
    <mergeCell ref="D359:D360"/>
    <mergeCell ref="E359:E360"/>
    <mergeCell ref="F359:F360"/>
    <mergeCell ref="D349:D350"/>
    <mergeCell ref="E349:E350"/>
    <mergeCell ref="F349:F350"/>
    <mergeCell ref="D301:D302"/>
    <mergeCell ref="E301:E302"/>
    <mergeCell ref="F301:F302"/>
    <mergeCell ref="H301:H302"/>
    <mergeCell ref="I301:I302"/>
    <mergeCell ref="J301:J302"/>
    <mergeCell ref="H360:J360"/>
    <mergeCell ref="H361:J361"/>
    <mergeCell ref="D375:D376"/>
    <mergeCell ref="E375:E376"/>
    <mergeCell ref="F375:F376"/>
    <mergeCell ref="D351:D352"/>
    <mergeCell ref="E351:E352"/>
    <mergeCell ref="F351:F352"/>
    <mergeCell ref="H352:J352"/>
    <mergeCell ref="D353:D354"/>
    <mergeCell ref="E353:E354"/>
    <mergeCell ref="F353:F354"/>
    <mergeCell ref="D336:D337"/>
    <mergeCell ref="E336:E337"/>
    <mergeCell ref="F336:F337"/>
    <mergeCell ref="C343:F343"/>
    <mergeCell ref="H344:J344"/>
    <mergeCell ref="D345:D346"/>
    <mergeCell ref="H267:J267"/>
    <mergeCell ref="H268:J268"/>
    <mergeCell ref="H269:J270"/>
    <mergeCell ref="H379:H380"/>
    <mergeCell ref="I379:I380"/>
    <mergeCell ref="J379:J380"/>
    <mergeCell ref="H340:H341"/>
    <mergeCell ref="I340:I341"/>
    <mergeCell ref="J340:J341"/>
    <mergeCell ref="H286:J286"/>
    <mergeCell ref="H277:J277"/>
    <mergeCell ref="H272:H273"/>
    <mergeCell ref="I272:I273"/>
    <mergeCell ref="J272:J273"/>
  </mergeCells>
  <phoneticPr fontId="10" type="noConversion"/>
  <hyperlinks>
    <hyperlink ref="H322:J322" location="'51950 DP Perspective'!A1" display="See 51950 DP Perspective" xr:uid="{D278805C-394A-499E-8B7E-96555030051B}"/>
    <hyperlink ref="H361:J361" location="'51950 DP Perspective'!A1" display="See 51950 DP Perspective" xr:uid="{B925AC5F-6B07-4586-BC48-58C56A8E86E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3987-E883-43E6-BBF6-917D02A6AEFA}">
  <dimension ref="B2:L43"/>
  <sheetViews>
    <sheetView zoomScale="85" zoomScaleNormal="85" workbookViewId="0">
      <selection activeCell="H9" sqref="H9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2.42578125" customWidth="1"/>
    <col min="8" max="8" width="18.5703125" bestFit="1" customWidth="1"/>
    <col min="9" max="9" width="10.85546875" bestFit="1" customWidth="1"/>
    <col min="10" max="10" width="23.42578125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55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51.75">
      <c r="B4" s="45"/>
      <c r="C4" s="256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56"/>
      <c r="D5" s="38" t="s">
        <v>339</v>
      </c>
      <c r="E5" s="249" t="s">
        <v>340</v>
      </c>
      <c r="F5" s="257">
        <f>HEX2DEC(MID(D6,3,5))-HEX2DEC(MID(D5,3,5))+1</f>
        <v>130560</v>
      </c>
      <c r="G5" s="252" t="str">
        <f>TEXT(F5/1024,"0.0")&amp;" K"</f>
        <v>127.5 K</v>
      </c>
      <c r="H5" s="139"/>
      <c r="I5" s="141"/>
      <c r="J5" s="144"/>
      <c r="K5" s="143"/>
      <c r="L5" s="144"/>
    </row>
    <row r="6" spans="2:12" ht="17.25">
      <c r="B6" s="45"/>
      <c r="C6" s="256"/>
      <c r="D6" s="40" t="s">
        <v>341</v>
      </c>
      <c r="E6" s="249"/>
      <c r="F6" s="258"/>
      <c r="G6" s="252"/>
      <c r="H6" s="139"/>
      <c r="I6" s="141"/>
      <c r="J6" s="145"/>
      <c r="K6" s="143" t="s">
        <v>342</v>
      </c>
      <c r="L6" s="145"/>
    </row>
    <row r="7" spans="2:12" ht="17.25">
      <c r="B7" s="45"/>
      <c r="C7" s="256"/>
      <c r="D7" s="38" t="s">
        <v>343</v>
      </c>
      <c r="E7" s="249" t="s">
        <v>344</v>
      </c>
      <c r="F7" s="257">
        <f>HEX2DEC(MID(D8,3,5))-HEX2DEC(MID(D7,3,5))+1</f>
        <v>8192</v>
      </c>
      <c r="G7" s="252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56"/>
      <c r="D8" s="40" t="s">
        <v>348</v>
      </c>
      <c r="E8" s="249"/>
      <c r="F8" s="258"/>
      <c r="G8" s="252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56"/>
      <c r="D9" s="38" t="s">
        <v>351</v>
      </c>
      <c r="E9" s="249" t="s">
        <v>178</v>
      </c>
      <c r="F9" s="257">
        <f>HEX2DEC(MID(D10,3,5))-HEX2DEC(MID(D9,3,5))+1</f>
        <v>102400</v>
      </c>
      <c r="G9" s="252" t="str">
        <f>TEXT(F9/1024,"0.0")&amp;" K"</f>
        <v>100.0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56"/>
      <c r="D10" s="40" t="s">
        <v>449</v>
      </c>
      <c r="E10" s="249"/>
      <c r="F10" s="258"/>
      <c r="G10" s="252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56"/>
      <c r="D11" s="38" t="s">
        <v>471</v>
      </c>
      <c r="E11" s="249" t="s">
        <v>472</v>
      </c>
      <c r="F11" s="257">
        <f>HEX2DEC(MID(D12,3,5))-HEX2DEC(MID(D11,3,5))+1</f>
        <v>2049</v>
      </c>
      <c r="G11" s="252" t="str">
        <f>TEXT(F11/1024,"0.0")&amp;" K"</f>
        <v>2.0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56"/>
      <c r="D12" s="38" t="s">
        <v>473</v>
      </c>
      <c r="E12" s="249"/>
      <c r="F12" s="258"/>
      <c r="G12" s="252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474</v>
      </c>
      <c r="E13" s="249" t="s">
        <v>185</v>
      </c>
      <c r="F13" s="257">
        <f>HEX2DEC(MID(D14,3,5))-HEX2DEC(MID(D13,3,5))+1</f>
        <v>4</v>
      </c>
      <c r="G13" s="252" t="str">
        <f>TEXT(F13/1024,"0.0")&amp;" K"</f>
        <v>0.0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38" t="s">
        <v>369</v>
      </c>
      <c r="E14" s="249"/>
      <c r="F14" s="258"/>
      <c r="G14" s="252"/>
      <c r="H14" s="139" t="s">
        <v>360</v>
      </c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1</v>
      </c>
      <c r="E15" s="257" t="s">
        <v>370</v>
      </c>
      <c r="F15" s="257">
        <f>HEX2DEC(MID(D16,3,5))-HEX2DEC(MID(D15,3,5))+1</f>
        <v>4096</v>
      </c>
      <c r="G15" s="252" t="str">
        <f>TEXT(F15/1024,"0.0")&amp;" K"</f>
        <v>4.0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371</v>
      </c>
      <c r="E16" s="258"/>
      <c r="F16" s="258"/>
      <c r="G16" s="252"/>
      <c r="H16" s="139"/>
      <c r="I16" s="147"/>
      <c r="J16" s="148" t="s">
        <v>302</v>
      </c>
      <c r="K16" s="143"/>
      <c r="L16" s="149"/>
    </row>
    <row r="17" spans="2:12" ht="17.25">
      <c r="B17" s="45"/>
      <c r="C17" s="45"/>
      <c r="D17" s="38" t="s">
        <v>372</v>
      </c>
      <c r="E17" s="257" t="s">
        <v>373</v>
      </c>
      <c r="F17" s="257">
        <f>HEX2DEC(MID(D18,3,5))-HEX2DEC(MID(D17,3,5))+1</f>
        <v>4096</v>
      </c>
      <c r="G17" s="252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376</v>
      </c>
      <c r="E18" s="258"/>
      <c r="F18" s="258"/>
      <c r="G18" s="252"/>
      <c r="H18" s="139"/>
      <c r="I18" s="147"/>
      <c r="J18" s="152"/>
      <c r="K18" s="143"/>
      <c r="L18" s="149"/>
    </row>
    <row r="19" spans="2:12" ht="17.25">
      <c r="B19" s="45"/>
      <c r="C19" s="45"/>
      <c r="D19" s="38" t="s">
        <v>0</v>
      </c>
      <c r="E19" s="248" t="s">
        <v>378</v>
      </c>
      <c r="F19" s="250">
        <f>HEX2DEC(MID(D20,3,5))-HEX2DEC(MID(D19,3,5))+1</f>
        <v>8192</v>
      </c>
      <c r="G19" s="252" t="str">
        <f>TEXT(F19/1024,"0.0")&amp;" K"</f>
        <v>8.0 K</v>
      </c>
      <c r="H19" s="139"/>
      <c r="I19" s="147"/>
      <c r="J19" s="148" t="s">
        <v>374</v>
      </c>
      <c r="K19" s="143" t="s">
        <v>375</v>
      </c>
      <c r="L19" s="149"/>
    </row>
    <row r="20" spans="2:12" ht="17.25">
      <c r="B20" s="45"/>
      <c r="C20" s="45"/>
      <c r="D20" s="40" t="s">
        <v>258</v>
      </c>
      <c r="E20" s="249"/>
      <c r="F20" s="251"/>
      <c r="G20" s="252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47"/>
      <c r="E21" s="69"/>
      <c r="F21" s="47">
        <f>SUM(F4:F20)</f>
        <v>260101</v>
      </c>
      <c r="G21" s="47" t="str">
        <f>TEXT(F21/1024,"0.0")&amp;" K"</f>
        <v>254.0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G22" s="45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>
      <c r="B23" s="45"/>
      <c r="C23" s="45"/>
      <c r="G23" s="45"/>
      <c r="I23" s="153"/>
      <c r="J23" s="63"/>
      <c r="K23" s="143" t="s">
        <v>316</v>
      </c>
      <c r="L23" s="145"/>
    </row>
    <row r="24" spans="2:12" ht="18" thickBot="1">
      <c r="B24" s="45"/>
      <c r="C24" s="45"/>
      <c r="D24" s="154"/>
      <c r="E24" s="155" t="s">
        <v>384</v>
      </c>
      <c r="F24" s="139"/>
      <c r="G24" s="45"/>
      <c r="H24" s="156"/>
    </row>
    <row r="25" spans="2:12" ht="18" thickBot="1">
      <c r="B25" s="45"/>
      <c r="C25" s="45"/>
      <c r="D25" s="134" t="s">
        <v>328</v>
      </c>
      <c r="E25" s="56" t="s">
        <v>228</v>
      </c>
      <c r="F25" s="56"/>
      <c r="G25" s="45"/>
      <c r="H25" s="157" t="s">
        <v>190</v>
      </c>
    </row>
    <row r="26" spans="2:12" ht="18" thickBot="1">
      <c r="B26" s="45"/>
      <c r="C26" s="45"/>
      <c r="D26" s="134" t="s">
        <v>389</v>
      </c>
      <c r="E26" s="162">
        <v>2048</v>
      </c>
      <c r="F26" s="163" t="s">
        <v>230</v>
      </c>
      <c r="G26" s="45"/>
      <c r="H26" s="164" t="s">
        <v>336</v>
      </c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tr">
        <f>"0x"&amp;DEC2HEX((HEX2DEC(MID(D26,3,5))+E26))</f>
        <v>0x80800</v>
      </c>
      <c r="E27" s="162">
        <f>14*1024</f>
        <v>14336</v>
      </c>
      <c r="F27" s="163" t="s">
        <v>392</v>
      </c>
      <c r="G27" s="45"/>
      <c r="H27" s="168" t="s">
        <v>213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tr">
        <f t="shared" ref="D28:D34" si="0">"0x"&amp;DEC2HEX((HEX2DEC(MID(D27,3,5))+E27))</f>
        <v>0x84000</v>
      </c>
      <c r="E28" s="162">
        <f>10*1024</f>
        <v>10240</v>
      </c>
      <c r="F28" s="163" t="s">
        <v>394</v>
      </c>
      <c r="G28" s="45"/>
      <c r="H28" s="168" t="s">
        <v>214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 t="shared" si="0"/>
        <v>0x86800</v>
      </c>
      <c r="E29" s="162">
        <f>14*1024</f>
        <v>14336</v>
      </c>
      <c r="F29" s="163" t="s">
        <v>475</v>
      </c>
      <c r="H29" s="168" t="s">
        <v>397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si="0"/>
        <v>0x8A000</v>
      </c>
      <c r="E30" s="162">
        <f>10*1024</f>
        <v>10240</v>
      </c>
      <c r="F30" s="163" t="s">
        <v>476</v>
      </c>
      <c r="H30" s="168" t="s">
        <v>367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0x8C800</v>
      </c>
      <c r="E31" s="162">
        <f>160+512+4096+480+480</f>
        <v>5728</v>
      </c>
      <c r="F31" s="163" t="s">
        <v>236</v>
      </c>
      <c r="H31" s="168" t="s">
        <v>401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0x8DE60</v>
      </c>
      <c r="E32" s="162">
        <v>640</v>
      </c>
      <c r="F32" s="163" t="s">
        <v>477</v>
      </c>
      <c r="H32" s="168" t="s">
        <v>373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0x8E0E0</v>
      </c>
      <c r="E33" s="162">
        <v>13312</v>
      </c>
      <c r="F33" s="163" t="s">
        <v>411</v>
      </c>
      <c r="G33" s="171"/>
      <c r="H33" s="168" t="s">
        <v>408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0x914E0</v>
      </c>
      <c r="E34" s="162">
        <f>HEX2DEC(MID(D35,3,5))-HEX2DEC(MID(D34,3,5))</f>
        <v>14112</v>
      </c>
      <c r="F34" s="253" t="s">
        <v>414</v>
      </c>
      <c r="G34" s="171"/>
      <c r="H34" s="172" t="s">
        <v>412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">
        <v>478</v>
      </c>
      <c r="E35" s="162"/>
      <c r="F35" s="254"/>
      <c r="G35" s="171"/>
      <c r="H35" s="171"/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G36" s="171"/>
      <c r="I36" s="167" t="s">
        <v>409</v>
      </c>
      <c r="J36" s="169"/>
      <c r="K36" s="167" t="s">
        <v>413</v>
      </c>
      <c r="L36" s="170"/>
    </row>
    <row r="37" spans="4:12">
      <c r="G37" s="171"/>
    </row>
    <row r="38" spans="4:12">
      <c r="G38" s="171"/>
    </row>
    <row r="39" spans="4:12">
      <c r="G39" s="171"/>
    </row>
    <row r="40" spans="4:12">
      <c r="G40" s="171"/>
    </row>
    <row r="41" spans="4:12">
      <c r="G41" s="171"/>
    </row>
    <row r="42" spans="4:12">
      <c r="G42" s="171"/>
    </row>
    <row r="43" spans="4:12">
      <c r="G43" s="171"/>
    </row>
  </sheetData>
  <mergeCells count="26">
    <mergeCell ref="G11:G12"/>
    <mergeCell ref="E15:E16"/>
    <mergeCell ref="F15:F16"/>
    <mergeCell ref="G15:G16"/>
    <mergeCell ref="E17:E18"/>
    <mergeCell ref="F17:F18"/>
    <mergeCell ref="G17:G18"/>
    <mergeCell ref="E13:E14"/>
    <mergeCell ref="F13:F14"/>
    <mergeCell ref="G13:G14"/>
    <mergeCell ref="E19:E20"/>
    <mergeCell ref="F19:F20"/>
    <mergeCell ref="G19:G20"/>
    <mergeCell ref="F34:F35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93C-7F8D-48F2-8525-DC23A7E8B60C}">
  <dimension ref="B1:L55"/>
  <sheetViews>
    <sheetView zoomScale="85" zoomScaleNormal="85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38" bestFit="1" customWidth="1"/>
    <col min="7" max="7" width="15" bestFit="1" customWidth="1"/>
    <col min="8" max="8" width="18.5703125" bestFit="1" customWidth="1"/>
    <col min="9" max="9" width="10.85546875" bestFit="1" customWidth="1"/>
    <col min="10" max="10" width="17.5703125" bestFit="1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1" spans="2:12" ht="16.5" customHeight="1"/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55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17.25" customHeight="1">
      <c r="B4" s="45"/>
      <c r="C4" s="256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56"/>
      <c r="D5" s="38" t="s">
        <v>339</v>
      </c>
      <c r="E5" s="249" t="s">
        <v>340</v>
      </c>
      <c r="F5" s="257">
        <f>HEX2DEC(MID(D6,3,5))-HEX2DEC(MID(D5,3,5))+1</f>
        <v>130560</v>
      </c>
      <c r="G5" s="252" t="str">
        <f>TEXT(F5/1024,"0.0")&amp;" K"</f>
        <v>127.5 K</v>
      </c>
      <c r="H5" s="139"/>
      <c r="I5" s="141"/>
      <c r="J5" s="144"/>
      <c r="K5" s="143"/>
      <c r="L5" s="144"/>
    </row>
    <row r="6" spans="2:12" ht="17.25" customHeight="1">
      <c r="B6" s="45"/>
      <c r="C6" s="256"/>
      <c r="D6" s="40" t="s">
        <v>341</v>
      </c>
      <c r="E6" s="249"/>
      <c r="F6" s="258"/>
      <c r="G6" s="252"/>
      <c r="H6" s="139"/>
      <c r="I6" s="141"/>
      <c r="J6" s="145"/>
      <c r="K6" s="143" t="s">
        <v>342</v>
      </c>
      <c r="L6" s="145"/>
    </row>
    <row r="7" spans="2:12" ht="17.25">
      <c r="B7" s="45"/>
      <c r="C7" s="256"/>
      <c r="D7" s="38" t="s">
        <v>343</v>
      </c>
      <c r="E7" s="249" t="s">
        <v>344</v>
      </c>
      <c r="F7" s="257">
        <f>HEX2DEC(MID(D8,3,5))-HEX2DEC(MID(D7,3,5))+1</f>
        <v>8192</v>
      </c>
      <c r="G7" s="252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56"/>
      <c r="D8" s="40" t="s">
        <v>348</v>
      </c>
      <c r="E8" s="249"/>
      <c r="F8" s="258"/>
      <c r="G8" s="252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56"/>
      <c r="D9" s="38" t="s">
        <v>351</v>
      </c>
      <c r="E9" s="249" t="s">
        <v>178</v>
      </c>
      <c r="F9" s="257">
        <f>HEX2DEC(MID(D10,3,5))-HEX2DEC(MID(D9,3,5))+1</f>
        <v>77820</v>
      </c>
      <c r="G9" s="252" t="str">
        <f>TEXT(F9/1024,"0.0")&amp;" K"</f>
        <v>76.0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56"/>
      <c r="D10" s="40" t="s">
        <v>354</v>
      </c>
      <c r="E10" s="249"/>
      <c r="F10" s="258"/>
      <c r="G10" s="252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56"/>
      <c r="D11" s="38" t="s">
        <v>357</v>
      </c>
      <c r="E11" s="249" t="s">
        <v>185</v>
      </c>
      <c r="F11" s="257">
        <f>HEX2DEC(MID(D12,3,5))-HEX2DEC(MID(D11,3,5))+1</f>
        <v>4</v>
      </c>
      <c r="G11" s="252" t="str">
        <f>TEXT(F11/1024,"0.0")&amp;" K"</f>
        <v>0.0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56"/>
      <c r="D12" s="38" t="s">
        <v>359</v>
      </c>
      <c r="E12" s="249"/>
      <c r="F12" s="258"/>
      <c r="G12" s="252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362</v>
      </c>
      <c r="E13" s="259" t="s">
        <v>363</v>
      </c>
      <c r="F13" s="257">
        <f>HEX2DEC(MID(D14,3,5))-HEX2DEC(MID(D13,3,5))+1</f>
        <v>8192</v>
      </c>
      <c r="G13" s="252" t="str">
        <f>TEXT(F13/1024,"0.0")&amp;" K"</f>
        <v>8.0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40" t="s">
        <v>186</v>
      </c>
      <c r="E14" s="260"/>
      <c r="F14" s="258"/>
      <c r="G14" s="252"/>
      <c r="H14" s="139"/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366</v>
      </c>
      <c r="E15" s="259" t="s">
        <v>367</v>
      </c>
      <c r="F15" s="257">
        <f>HEX2DEC(MID(D16,3,5))-HEX2DEC(MID(D15,3,5))+1</f>
        <v>20480</v>
      </c>
      <c r="G15" s="252" t="str">
        <f>TEXT(F15/1024,"0.0")&amp;" K"</f>
        <v>20.0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369</v>
      </c>
      <c r="E16" s="260"/>
      <c r="F16" s="258"/>
      <c r="G16" s="252"/>
      <c r="H16" s="139"/>
      <c r="I16" s="147"/>
      <c r="J16" s="148" t="s">
        <v>302</v>
      </c>
      <c r="K16" s="143"/>
      <c r="L16" s="149"/>
    </row>
    <row r="17" spans="2:12" ht="18" customHeight="1">
      <c r="B17" s="45"/>
      <c r="C17" s="45"/>
      <c r="D17" s="38" t="s">
        <v>1</v>
      </c>
      <c r="E17" s="257" t="s">
        <v>370</v>
      </c>
      <c r="F17" s="257">
        <f>HEX2DEC(MID(D18,3,5))-HEX2DEC(MID(D17,3,5))+1</f>
        <v>4096</v>
      </c>
      <c r="G17" s="252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371</v>
      </c>
      <c r="E18" s="258"/>
      <c r="F18" s="258"/>
      <c r="G18" s="252"/>
      <c r="H18" s="139"/>
      <c r="I18" s="147"/>
      <c r="J18" s="152"/>
      <c r="K18" s="143"/>
      <c r="L18" s="149"/>
    </row>
    <row r="19" spans="2:12" ht="17.25" customHeight="1">
      <c r="B19" s="45"/>
      <c r="C19" s="45"/>
      <c r="D19" s="38" t="s">
        <v>372</v>
      </c>
      <c r="E19" s="257" t="s">
        <v>373</v>
      </c>
      <c r="F19" s="257">
        <f>HEX2DEC(MID(D20,3,5))-HEX2DEC(MID(D19,3,5))+1</f>
        <v>4096</v>
      </c>
      <c r="G19" s="252" t="str">
        <f>TEXT(F19/1024,"0.0")&amp;" K"</f>
        <v>4.0 K</v>
      </c>
      <c r="H19" s="139"/>
      <c r="I19" s="147"/>
      <c r="J19" s="148" t="s">
        <v>374</v>
      </c>
      <c r="K19" s="143" t="s">
        <v>375</v>
      </c>
      <c r="L19" s="149"/>
    </row>
    <row r="20" spans="2:12" ht="18" customHeight="1">
      <c r="B20" s="45"/>
      <c r="C20" s="45"/>
      <c r="D20" s="40" t="s">
        <v>376</v>
      </c>
      <c r="E20" s="258"/>
      <c r="F20" s="258"/>
      <c r="G20" s="252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38" t="s">
        <v>0</v>
      </c>
      <c r="E21" s="248" t="s">
        <v>378</v>
      </c>
      <c r="F21" s="250">
        <f>HEX2DEC(MID(D22,3,5))-HEX2DEC(MID(D21,3,5))+1</f>
        <v>8192</v>
      </c>
      <c r="G21" s="252" t="str">
        <f>TEXT(F21/1024,"0.0")&amp;" K"</f>
        <v>8.0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D22" s="40" t="s">
        <v>258</v>
      </c>
      <c r="E22" s="249"/>
      <c r="F22" s="251"/>
      <c r="G22" s="252"/>
      <c r="H22" s="139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 customHeight="1">
      <c r="B23" s="45"/>
      <c r="C23" s="45"/>
      <c r="D23" s="47"/>
      <c r="E23" s="69"/>
      <c r="F23" s="47">
        <f>SUM(F4:F22)</f>
        <v>262144</v>
      </c>
      <c r="G23" s="47" t="str">
        <f>TEXT(F23/1024,"0.0")&amp;" K"</f>
        <v>256.0 K</v>
      </c>
      <c r="H23" s="139"/>
      <c r="I23" s="153"/>
      <c r="J23" s="63"/>
      <c r="K23" s="143" t="s">
        <v>316</v>
      </c>
      <c r="L23" s="145"/>
    </row>
    <row r="24" spans="2:12" ht="17.25">
      <c r="B24" s="45"/>
      <c r="C24" s="45"/>
      <c r="G24" s="45"/>
    </row>
    <row r="25" spans="2:12" ht="17.25">
      <c r="B25" s="45"/>
      <c r="C25" s="45"/>
      <c r="G25" s="45"/>
    </row>
    <row r="26" spans="2:12" ht="18" thickBot="1">
      <c r="B26" s="45"/>
      <c r="C26" s="45"/>
      <c r="D26" s="154"/>
      <c r="E26" s="155" t="s">
        <v>384</v>
      </c>
      <c r="F26" s="139"/>
      <c r="G26" s="45"/>
      <c r="H26" s="156"/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">
        <v>328</v>
      </c>
      <c r="E27" s="56" t="s">
        <v>228</v>
      </c>
      <c r="F27" s="56"/>
      <c r="G27" s="45"/>
      <c r="H27" s="157" t="s">
        <v>190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">
        <v>389</v>
      </c>
      <c r="E28" s="162">
        <v>2048</v>
      </c>
      <c r="F28" s="163" t="s">
        <v>230</v>
      </c>
      <c r="G28" s="45"/>
      <c r="H28" s="164" t="s">
        <v>336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>"0x"&amp;DEC2HEX((HEX2DEC(MID(D28,3,5))+E28))</f>
        <v>0x80800</v>
      </c>
      <c r="E29" s="162">
        <f>11*1024</f>
        <v>11264</v>
      </c>
      <c r="F29" s="163" t="s">
        <v>392</v>
      </c>
      <c r="G29" s="45"/>
      <c r="H29" s="168" t="s">
        <v>213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ref="D30:D37" si="0">"0x"&amp;DEC2HEX((HEX2DEC(MID(D29,3,5))+E29))</f>
        <v>0x83400</v>
      </c>
      <c r="E30" s="162">
        <f>9*1024</f>
        <v>9216</v>
      </c>
      <c r="F30" s="163" t="s">
        <v>394</v>
      </c>
      <c r="G30" s="45"/>
      <c r="H30" s="168" t="s">
        <v>214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0x85800</v>
      </c>
      <c r="E31" s="162">
        <v>20480</v>
      </c>
      <c r="F31" s="163" t="s">
        <v>396</v>
      </c>
      <c r="H31" s="168" t="s">
        <v>397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0x8A800</v>
      </c>
      <c r="E32" s="162">
        <v>11728</v>
      </c>
      <c r="F32" s="163" t="s">
        <v>399</v>
      </c>
      <c r="H32" s="168" t="s">
        <v>367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0x8D5D0</v>
      </c>
      <c r="E33" s="162">
        <v>8192</v>
      </c>
      <c r="F33" s="163" t="s">
        <v>2</v>
      </c>
      <c r="H33" s="168" t="s">
        <v>401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0x8F5D0</v>
      </c>
      <c r="E34" s="162">
        <v>5280</v>
      </c>
      <c r="F34" s="163" t="s">
        <v>404</v>
      </c>
      <c r="H34" s="168" t="s">
        <v>373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tr">
        <f t="shared" si="0"/>
        <v>0x90A70</v>
      </c>
      <c r="E35" s="162">
        <v>256</v>
      </c>
      <c r="F35" s="163" t="s">
        <v>407</v>
      </c>
      <c r="G35" s="171"/>
      <c r="H35" s="168" t="s">
        <v>408</v>
      </c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D36" s="134" t="str">
        <f t="shared" si="0"/>
        <v>0x90B70</v>
      </c>
      <c r="E36" s="162">
        <v>13312</v>
      </c>
      <c r="F36" s="163" t="s">
        <v>411</v>
      </c>
      <c r="G36" s="171"/>
      <c r="H36" s="172" t="s">
        <v>412</v>
      </c>
      <c r="I36" s="167" t="s">
        <v>409</v>
      </c>
      <c r="J36" s="169"/>
      <c r="K36" s="167" t="s">
        <v>413</v>
      </c>
      <c r="L36" s="170"/>
    </row>
    <row r="37" spans="4:12" ht="17.25">
      <c r="D37" s="134" t="str">
        <f t="shared" si="0"/>
        <v>0x93F70</v>
      </c>
      <c r="E37" s="162">
        <f>HEX2DEC(MID(D38,3,5))-HEX2DEC(MID(D37,3,5))</f>
        <v>10896</v>
      </c>
      <c r="F37" s="253" t="s">
        <v>414</v>
      </c>
      <c r="G37" s="171"/>
      <c r="H37" s="171"/>
    </row>
    <row r="38" spans="4:12" ht="17.25">
      <c r="D38" s="134" t="s">
        <v>415</v>
      </c>
      <c r="E38" s="162"/>
      <c r="F38" s="254"/>
      <c r="G38" s="171"/>
    </row>
    <row r="39" spans="4:12">
      <c r="G39" s="171"/>
    </row>
    <row r="42" spans="4:12">
      <c r="D42" t="s">
        <v>416</v>
      </c>
    </row>
    <row r="43" spans="4:12" ht="15.75">
      <c r="D43" s="131" t="s">
        <v>328</v>
      </c>
      <c r="E43" s="132" t="s">
        <v>228</v>
      </c>
      <c r="F43" s="132"/>
      <c r="G43" s="133" t="s">
        <v>229</v>
      </c>
    </row>
    <row r="44" spans="4:12" ht="17.25">
      <c r="D44" s="136">
        <v>22000</v>
      </c>
      <c r="E44" s="135">
        <v>1920</v>
      </c>
      <c r="F44" s="163" t="s">
        <v>230</v>
      </c>
      <c r="G44" s="135">
        <v>80000</v>
      </c>
    </row>
    <row r="45" spans="4:12" ht="17.25">
      <c r="D45" s="136" t="str">
        <f>DEC2HEX((HEX2DEC(D44)+E44))</f>
        <v>22780</v>
      </c>
      <c r="E45" s="135">
        <v>128</v>
      </c>
      <c r="F45" s="163" t="s">
        <v>417</v>
      </c>
      <c r="G45" s="135" t="str">
        <f t="shared" ref="G45:G55" si="1">DEC2HEX(HEX2DEC(G44)+E44)</f>
        <v>80780</v>
      </c>
    </row>
    <row r="46" spans="4:12" ht="17.25">
      <c r="D46" s="136" t="str">
        <f t="shared" ref="D46:D55" si="2">DEC2HEX((HEX2DEC(D45)+E45))</f>
        <v>22800</v>
      </c>
      <c r="E46" s="135">
        <v>11264</v>
      </c>
      <c r="F46" s="163" t="s">
        <v>392</v>
      </c>
      <c r="G46" s="135" t="str">
        <f t="shared" si="1"/>
        <v>80800</v>
      </c>
    </row>
    <row r="47" spans="4:12" ht="17.25">
      <c r="D47" s="136" t="str">
        <f t="shared" si="2"/>
        <v>25400</v>
      </c>
      <c r="E47" s="135">
        <v>9216</v>
      </c>
      <c r="F47" s="163" t="s">
        <v>394</v>
      </c>
      <c r="G47" s="135" t="str">
        <f t="shared" si="1"/>
        <v>83400</v>
      </c>
    </row>
    <row r="48" spans="4:12" ht="17.25">
      <c r="D48" s="136" t="str">
        <f t="shared" si="2"/>
        <v>27800</v>
      </c>
      <c r="E48" s="135">
        <v>20480</v>
      </c>
      <c r="F48" s="163" t="s">
        <v>418</v>
      </c>
      <c r="G48" s="135" t="str">
        <f t="shared" si="1"/>
        <v>85800</v>
      </c>
    </row>
    <row r="49" spans="4:7" ht="17.25">
      <c r="D49" s="136" t="str">
        <f t="shared" si="2"/>
        <v>2C800</v>
      </c>
      <c r="E49" s="135">
        <v>11728</v>
      </c>
      <c r="F49" s="163" t="s">
        <v>419</v>
      </c>
      <c r="G49" s="135" t="str">
        <f t="shared" si="1"/>
        <v>8A800</v>
      </c>
    </row>
    <row r="50" spans="4:7" ht="17.25">
      <c r="D50" s="136" t="str">
        <f t="shared" si="2"/>
        <v>2F5D0</v>
      </c>
      <c r="E50" s="135">
        <v>8192</v>
      </c>
      <c r="F50" s="163" t="s">
        <v>420</v>
      </c>
      <c r="G50" s="135" t="str">
        <f t="shared" si="1"/>
        <v>8D5D0</v>
      </c>
    </row>
    <row r="51" spans="4:7" ht="17.25">
      <c r="D51" s="136" t="str">
        <f t="shared" si="2"/>
        <v>315D0</v>
      </c>
      <c r="E51" s="135">
        <v>5278</v>
      </c>
      <c r="F51" s="163" t="s">
        <v>236</v>
      </c>
      <c r="G51" s="135" t="str">
        <f t="shared" si="1"/>
        <v>8F5D0</v>
      </c>
    </row>
    <row r="52" spans="4:7" ht="17.25">
      <c r="D52" s="136" t="str">
        <f t="shared" si="2"/>
        <v>32A6E</v>
      </c>
      <c r="E52" s="135">
        <v>2</v>
      </c>
      <c r="F52" s="163" t="s">
        <v>421</v>
      </c>
      <c r="G52" s="135" t="str">
        <f t="shared" si="1"/>
        <v>90A6E</v>
      </c>
    </row>
    <row r="53" spans="4:7" ht="17.25">
      <c r="D53" s="136" t="str">
        <f t="shared" si="2"/>
        <v>32A70</v>
      </c>
      <c r="E53" s="135">
        <v>256</v>
      </c>
      <c r="F53" s="163" t="s">
        <v>407</v>
      </c>
      <c r="G53" s="135" t="str">
        <f t="shared" si="1"/>
        <v>90A70</v>
      </c>
    </row>
    <row r="54" spans="4:7" ht="17.25">
      <c r="D54" s="136" t="str">
        <f t="shared" si="2"/>
        <v>32B70</v>
      </c>
      <c r="E54" s="135">
        <v>13312</v>
      </c>
      <c r="F54" s="163" t="s">
        <v>411</v>
      </c>
      <c r="G54" s="135" t="str">
        <f t="shared" si="1"/>
        <v>90B70</v>
      </c>
    </row>
    <row r="55" spans="4:7" ht="17.25">
      <c r="D55" s="136" t="str">
        <f t="shared" si="2"/>
        <v>35F70</v>
      </c>
      <c r="E55" s="135">
        <v>10896</v>
      </c>
      <c r="F55" s="162" t="s">
        <v>414</v>
      </c>
      <c r="G55" s="135" t="str">
        <f t="shared" si="1"/>
        <v>93F70</v>
      </c>
    </row>
  </sheetData>
  <mergeCells count="29">
    <mergeCell ref="E17:E18"/>
    <mergeCell ref="F17:F18"/>
    <mergeCell ref="G17:G18"/>
    <mergeCell ref="F37:F38"/>
    <mergeCell ref="E19:E20"/>
    <mergeCell ref="F19:F20"/>
    <mergeCell ref="G19:G20"/>
    <mergeCell ref="E21:E22"/>
    <mergeCell ref="F21:F22"/>
    <mergeCell ref="G21:G22"/>
    <mergeCell ref="E13:E14"/>
    <mergeCell ref="F13:F14"/>
    <mergeCell ref="G13:G14"/>
    <mergeCell ref="E15:E16"/>
    <mergeCell ref="F15:F16"/>
    <mergeCell ref="G15:G16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B0F7-FE7E-41BB-AC6F-22795BDDFA5E}">
  <dimension ref="B2:M51"/>
  <sheetViews>
    <sheetView topLeftCell="A11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7.85546875" customWidth="1"/>
    <col min="9" max="12" width="23.140625" customWidth="1"/>
    <col min="13" max="13" width="37.28515625" bestFit="1" customWidth="1"/>
  </cols>
  <sheetData>
    <row r="2" spans="2:13" ht="17.25">
      <c r="D2" s="139"/>
      <c r="E2" s="140" t="s">
        <v>335</v>
      </c>
      <c r="F2" s="139"/>
      <c r="G2" s="139"/>
      <c r="I2" s="140" t="s">
        <v>195</v>
      </c>
      <c r="J2" s="140"/>
      <c r="K2" s="140" t="s">
        <v>197</v>
      </c>
      <c r="L2" s="140" t="s">
        <v>198</v>
      </c>
      <c r="M2" s="139"/>
    </row>
    <row r="3" spans="2:13" ht="51.75">
      <c r="B3" s="45"/>
      <c r="C3" s="255"/>
      <c r="D3" s="40" t="s">
        <v>162</v>
      </c>
      <c r="E3" s="40" t="s">
        <v>163</v>
      </c>
      <c r="F3" s="40" t="s">
        <v>164</v>
      </c>
      <c r="G3" s="45"/>
      <c r="I3" s="173" t="s">
        <v>202</v>
      </c>
      <c r="J3" s="142" t="s">
        <v>422</v>
      </c>
      <c r="K3" s="143" t="s">
        <v>279</v>
      </c>
      <c r="L3" s="174" t="s">
        <v>423</v>
      </c>
      <c r="M3" s="140"/>
    </row>
    <row r="4" spans="2:13" ht="17.25">
      <c r="B4" s="45"/>
      <c r="C4" s="256"/>
      <c r="D4" s="38" t="s">
        <v>165</v>
      </c>
      <c r="E4" s="40" t="s">
        <v>424</v>
      </c>
      <c r="F4" s="39">
        <v>512</v>
      </c>
      <c r="G4" s="47"/>
      <c r="I4" s="173"/>
      <c r="J4" s="144"/>
      <c r="K4" s="143"/>
      <c r="L4" s="144"/>
    </row>
    <row r="5" spans="2:13" ht="17.25">
      <c r="B5" s="45"/>
      <c r="C5" s="256"/>
      <c r="D5" s="38" t="s">
        <v>339</v>
      </c>
      <c r="E5" s="43" t="s">
        <v>425</v>
      </c>
      <c r="F5" s="39">
        <v>32</v>
      </c>
      <c r="G5" s="47"/>
      <c r="I5" s="173"/>
      <c r="J5" s="145"/>
      <c r="K5" s="143" t="s">
        <v>426</v>
      </c>
      <c r="L5" s="145"/>
    </row>
    <row r="6" spans="2:13" ht="17.25">
      <c r="B6" s="45"/>
      <c r="C6" s="256"/>
      <c r="D6" s="38" t="s">
        <v>427</v>
      </c>
      <c r="E6" s="43" t="s">
        <v>428</v>
      </c>
      <c r="F6" s="39">
        <v>48</v>
      </c>
      <c r="G6" s="47"/>
      <c r="I6" s="173"/>
      <c r="J6" s="143" t="s">
        <v>345</v>
      </c>
      <c r="K6" s="143"/>
      <c r="L6" s="146"/>
    </row>
    <row r="7" spans="2:13" ht="17.25">
      <c r="B7" s="45"/>
      <c r="C7" s="256"/>
      <c r="D7" s="38" t="s">
        <v>429</v>
      </c>
      <c r="E7" s="43" t="s">
        <v>430</v>
      </c>
      <c r="F7" s="39">
        <v>48</v>
      </c>
      <c r="G7" s="47"/>
      <c r="I7" s="175" t="s">
        <v>211</v>
      </c>
      <c r="J7" s="143" t="s">
        <v>349</v>
      </c>
      <c r="K7" s="143" t="s">
        <v>350</v>
      </c>
      <c r="L7" s="146"/>
    </row>
    <row r="8" spans="2:13" ht="34.5">
      <c r="B8" s="45"/>
      <c r="C8" s="256"/>
      <c r="D8" s="38" t="s">
        <v>431</v>
      </c>
      <c r="E8" s="43" t="s">
        <v>432</v>
      </c>
      <c r="F8" s="39">
        <v>48</v>
      </c>
      <c r="G8" s="47"/>
      <c r="I8" s="175"/>
      <c r="J8" s="143" t="s">
        <v>433</v>
      </c>
      <c r="K8" s="143"/>
      <c r="L8" s="174" t="s">
        <v>434</v>
      </c>
    </row>
    <row r="9" spans="2:13" ht="17.25">
      <c r="B9" s="45"/>
      <c r="C9" s="256"/>
      <c r="D9" s="38" t="s">
        <v>435</v>
      </c>
      <c r="E9" s="43" t="s">
        <v>436</v>
      </c>
      <c r="F9" s="39">
        <v>48</v>
      </c>
      <c r="G9" s="47"/>
      <c r="I9" s="175"/>
      <c r="J9" s="143" t="s">
        <v>437</v>
      </c>
      <c r="K9" s="143"/>
      <c r="L9" s="63"/>
    </row>
    <row r="10" spans="2:13" ht="17.25">
      <c r="B10" s="45"/>
      <c r="C10" s="256"/>
      <c r="D10" s="38" t="s">
        <v>438</v>
      </c>
      <c r="E10" s="40" t="s">
        <v>438</v>
      </c>
      <c r="F10" s="39" t="s">
        <v>438</v>
      </c>
      <c r="G10" s="47"/>
      <c r="I10" s="175"/>
      <c r="J10" s="143" t="s">
        <v>439</v>
      </c>
      <c r="K10" s="143"/>
      <c r="L10" s="149"/>
    </row>
    <row r="11" spans="2:13" ht="17.25">
      <c r="B11" s="45"/>
      <c r="C11" s="256"/>
      <c r="D11" s="42" t="s">
        <v>440</v>
      </c>
      <c r="E11" s="249" t="s">
        <v>340</v>
      </c>
      <c r="F11" s="261">
        <f>HEX2DEC(MID(D12,3,5))-HEX2DEC(MID(D11,3,5))+1</f>
        <v>86944</v>
      </c>
      <c r="G11" s="252"/>
      <c r="I11" s="175"/>
      <c r="J11" s="143" t="s">
        <v>361</v>
      </c>
      <c r="K11" s="143"/>
      <c r="L11" s="149"/>
    </row>
    <row r="12" spans="2:13" ht="17.25">
      <c r="B12" s="45"/>
      <c r="C12" s="256"/>
      <c r="D12" s="42" t="s">
        <v>441</v>
      </c>
      <c r="E12" s="249"/>
      <c r="F12" s="262"/>
      <c r="G12" s="252"/>
      <c r="I12" s="175"/>
      <c r="J12" s="148" t="s">
        <v>442</v>
      </c>
      <c r="K12" s="143"/>
      <c r="L12" s="149"/>
    </row>
    <row r="13" spans="2:13" ht="17.25">
      <c r="B13" s="45"/>
      <c r="C13" s="256"/>
      <c r="D13" s="38"/>
      <c r="E13" s="249"/>
      <c r="F13" s="257">
        <f>HEX2DEC(MID(D14,3,5))-HEX2DEC(MID(D13,3,5))+1</f>
        <v>1</v>
      </c>
      <c r="G13" s="252"/>
      <c r="I13" s="176" t="s">
        <v>365</v>
      </c>
      <c r="J13" s="148" t="s">
        <v>300</v>
      </c>
      <c r="K13" s="143"/>
      <c r="L13" s="149"/>
    </row>
    <row r="14" spans="2:13" ht="17.25">
      <c r="B14" s="45"/>
      <c r="C14" s="256"/>
      <c r="D14" s="40"/>
      <c r="E14" s="249"/>
      <c r="F14" s="258"/>
      <c r="G14" s="252"/>
      <c r="I14" s="175"/>
      <c r="J14" s="151"/>
      <c r="K14" s="143"/>
      <c r="L14" s="149"/>
    </row>
    <row r="15" spans="2:13" ht="17.25">
      <c r="B15" s="45"/>
      <c r="C15" s="256"/>
      <c r="D15" s="38" t="s">
        <v>443</v>
      </c>
      <c r="E15" s="249" t="s">
        <v>444</v>
      </c>
      <c r="F15" s="257">
        <f>HEX2DEC(MID(D16,3,5))-HEX2DEC(MID(D15,3,5))+1</f>
        <v>126972</v>
      </c>
      <c r="G15" s="252" t="s">
        <v>445</v>
      </c>
      <c r="I15" s="175"/>
      <c r="J15" s="148" t="s">
        <v>302</v>
      </c>
      <c r="K15" s="143"/>
      <c r="L15" s="149"/>
    </row>
    <row r="16" spans="2:13" ht="17.25">
      <c r="B16" s="45"/>
      <c r="C16" s="256"/>
      <c r="D16" s="38" t="s">
        <v>354</v>
      </c>
      <c r="E16" s="249"/>
      <c r="F16" s="258"/>
      <c r="G16" s="252"/>
      <c r="I16" s="175"/>
      <c r="J16" s="148"/>
      <c r="K16" s="143"/>
      <c r="L16" s="149"/>
    </row>
    <row r="17" spans="2:13" ht="17.25">
      <c r="B17" s="45"/>
      <c r="C17" s="256"/>
      <c r="D17" s="38" t="s">
        <v>357</v>
      </c>
      <c r="E17" s="249" t="s">
        <v>185</v>
      </c>
      <c r="F17" s="257">
        <f>HEX2DEC(MID(D18,3,5))-HEX2DEC(MID(D17,3,5))+1</f>
        <v>4</v>
      </c>
      <c r="G17" s="252" t="s">
        <v>446</v>
      </c>
      <c r="I17" s="175"/>
      <c r="J17" s="152"/>
      <c r="K17" s="143"/>
      <c r="L17" s="149"/>
    </row>
    <row r="18" spans="2:13" ht="17.25">
      <c r="B18" s="45"/>
      <c r="C18" s="256"/>
      <c r="D18" s="38" t="s">
        <v>359</v>
      </c>
      <c r="E18" s="249"/>
      <c r="F18" s="258"/>
      <c r="G18" s="252"/>
      <c r="I18" s="175"/>
      <c r="J18" s="148"/>
      <c r="K18" s="143"/>
      <c r="L18" s="149"/>
    </row>
    <row r="19" spans="2:13" ht="17.25">
      <c r="B19" s="45"/>
      <c r="C19" s="45"/>
      <c r="D19" s="38" t="s">
        <v>362</v>
      </c>
      <c r="E19" s="259" t="s">
        <v>363</v>
      </c>
      <c r="F19" s="257">
        <f>HEX2DEC(MID(D20,3,5))-HEX2DEC(MID(D19,3,5))+1</f>
        <v>8192</v>
      </c>
      <c r="G19" s="252"/>
      <c r="I19" s="175"/>
      <c r="J19" s="148"/>
      <c r="K19" s="143"/>
      <c r="L19" s="149"/>
    </row>
    <row r="20" spans="2:13" ht="17.25">
      <c r="B20" s="45"/>
      <c r="C20" s="45"/>
      <c r="D20" s="40" t="s">
        <v>186</v>
      </c>
      <c r="E20" s="260"/>
      <c r="F20" s="258"/>
      <c r="G20" s="252"/>
      <c r="I20" s="175"/>
      <c r="J20" s="143" t="s">
        <v>379</v>
      </c>
      <c r="K20" s="143"/>
      <c r="L20" s="146" t="s">
        <v>381</v>
      </c>
    </row>
    <row r="21" spans="2:13" ht="34.5">
      <c r="B21" s="45"/>
      <c r="C21" s="45"/>
      <c r="D21" s="38" t="s">
        <v>366</v>
      </c>
      <c r="E21" s="259" t="s">
        <v>367</v>
      </c>
      <c r="F21" s="257">
        <f>HEX2DEC(MID(D22,3,5))-HEX2DEC(MID(D21,3,5))+1</f>
        <v>12288</v>
      </c>
      <c r="G21" s="252"/>
      <c r="I21" s="177" t="s">
        <v>382</v>
      </c>
      <c r="J21" s="62" t="s">
        <v>224</v>
      </c>
      <c r="K21" s="143" t="s">
        <v>312</v>
      </c>
      <c r="L21" s="142" t="s">
        <v>383</v>
      </c>
    </row>
    <row r="22" spans="2:13" ht="17.25">
      <c r="B22" s="45"/>
      <c r="C22" s="45"/>
      <c r="D22" s="40" t="s">
        <v>447</v>
      </c>
      <c r="E22" s="260"/>
      <c r="F22" s="258"/>
      <c r="G22" s="252"/>
      <c r="I22" s="177"/>
      <c r="J22" s="63"/>
      <c r="K22" s="143" t="s">
        <v>316</v>
      </c>
      <c r="L22" s="145"/>
    </row>
    <row r="23" spans="2:13" ht="17.25">
      <c r="B23" s="45"/>
      <c r="C23" s="45"/>
      <c r="D23" s="38" t="s">
        <v>448</v>
      </c>
      <c r="E23" s="257" t="s">
        <v>370</v>
      </c>
      <c r="F23" s="257">
        <f>HEX2DEC(MID(D24,3,5))-HEX2DEC(MID(D23,3,5))+1</f>
        <v>4096</v>
      </c>
      <c r="G23" s="252"/>
      <c r="I23" s="139"/>
    </row>
    <row r="24" spans="2:13" ht="17.25">
      <c r="B24" s="45"/>
      <c r="C24" s="45"/>
      <c r="D24" s="40" t="s">
        <v>449</v>
      </c>
      <c r="E24" s="258"/>
      <c r="F24" s="258"/>
      <c r="G24" s="252"/>
    </row>
    <row r="25" spans="2:13" ht="17.25">
      <c r="B25" s="45"/>
      <c r="C25" s="45"/>
      <c r="D25" s="38" t="s">
        <v>450</v>
      </c>
      <c r="E25" s="257" t="s">
        <v>373</v>
      </c>
      <c r="F25" s="257">
        <f>HEX2DEC(MID(D26,3,5))-HEX2DEC(MID(D25,3,5))+1</f>
        <v>4096</v>
      </c>
      <c r="G25" s="252"/>
    </row>
    <row r="26" spans="2:13" ht="18" thickBot="1">
      <c r="B26" s="45"/>
      <c r="C26" s="45"/>
      <c r="D26" s="40" t="s">
        <v>369</v>
      </c>
      <c r="E26" s="258"/>
      <c r="F26" s="258"/>
      <c r="G26" s="252"/>
      <c r="I26" s="156"/>
      <c r="J26" s="139"/>
      <c r="K26" s="140" t="s">
        <v>385</v>
      </c>
      <c r="L26" s="139"/>
      <c r="M26" s="139"/>
    </row>
    <row r="27" spans="2:13" ht="18" thickBot="1">
      <c r="B27" s="45"/>
      <c r="C27" s="45"/>
      <c r="D27" s="38" t="s">
        <v>1</v>
      </c>
      <c r="E27" s="248" t="s">
        <v>378</v>
      </c>
      <c r="F27" s="250">
        <f>HEX2DEC(MID(D28,3,5))-HEX2DEC(MID(D27,3,5))+1</f>
        <v>16384</v>
      </c>
      <c r="G27" s="252"/>
      <c r="I27" s="157" t="s">
        <v>190</v>
      </c>
      <c r="J27" s="158" t="s">
        <v>191</v>
      </c>
      <c r="K27" s="159" t="s">
        <v>386</v>
      </c>
      <c r="L27" s="160" t="s">
        <v>387</v>
      </c>
      <c r="M27" s="161" t="s">
        <v>388</v>
      </c>
    </row>
    <row r="28" spans="2:13" ht="18" thickBot="1">
      <c r="B28" s="45"/>
      <c r="C28" s="45"/>
      <c r="D28" s="40" t="s">
        <v>258</v>
      </c>
      <c r="E28" s="249"/>
      <c r="F28" s="251"/>
      <c r="G28" s="252"/>
      <c r="I28" s="178" t="s">
        <v>336</v>
      </c>
      <c r="J28" s="179" t="s">
        <v>292</v>
      </c>
      <c r="K28" s="180">
        <v>1.0900000000000001</v>
      </c>
      <c r="L28" s="179" t="s">
        <v>390</v>
      </c>
      <c r="M28" s="167" t="s">
        <v>391</v>
      </c>
    </row>
    <row r="29" spans="2:13" ht="18" thickBot="1">
      <c r="B29" s="45"/>
      <c r="C29" s="45"/>
      <c r="D29" s="47"/>
      <c r="E29" s="69"/>
      <c r="F29" s="47"/>
      <c r="G29" s="47"/>
      <c r="I29" s="181" t="s">
        <v>213</v>
      </c>
      <c r="J29" s="179" t="s">
        <v>207</v>
      </c>
      <c r="K29" s="180">
        <v>84.91</v>
      </c>
      <c r="L29" s="179" t="s">
        <v>451</v>
      </c>
      <c r="M29" s="167" t="s">
        <v>204</v>
      </c>
    </row>
    <row r="30" spans="2:13" ht="18" thickBot="1">
      <c r="B30" s="45"/>
      <c r="C30" s="45"/>
      <c r="G30" s="45"/>
      <c r="I30" s="181" t="s">
        <v>214</v>
      </c>
      <c r="J30" s="182" t="s">
        <v>292</v>
      </c>
      <c r="K30" s="183">
        <v>102</v>
      </c>
      <c r="L30" s="182" t="s">
        <v>452</v>
      </c>
      <c r="M30" s="167" t="s">
        <v>350</v>
      </c>
    </row>
    <row r="31" spans="2:13" ht="18" thickBot="1">
      <c r="B31" s="45"/>
      <c r="C31" s="45"/>
      <c r="G31" s="45"/>
      <c r="I31" s="181" t="s">
        <v>397</v>
      </c>
      <c r="J31" s="182" t="s">
        <v>292</v>
      </c>
      <c r="K31" s="183">
        <v>8</v>
      </c>
      <c r="L31" s="182" t="s">
        <v>398</v>
      </c>
      <c r="M31" s="170"/>
    </row>
    <row r="32" spans="2:13" ht="18" thickBot="1">
      <c r="B32" s="45"/>
      <c r="C32" s="45"/>
      <c r="D32" s="154"/>
      <c r="E32" s="155" t="s">
        <v>384</v>
      </c>
      <c r="F32" s="139"/>
      <c r="G32" s="45"/>
      <c r="I32" s="181" t="s">
        <v>367</v>
      </c>
      <c r="J32" s="182"/>
      <c r="K32" s="183">
        <v>12</v>
      </c>
      <c r="L32" s="182" t="s">
        <v>400</v>
      </c>
      <c r="M32" s="170"/>
    </row>
    <row r="33" spans="2:13" ht="30.75" thickBot="1">
      <c r="B33" s="45"/>
      <c r="C33" s="45"/>
      <c r="D33" s="134" t="s">
        <v>328</v>
      </c>
      <c r="E33" s="56" t="s">
        <v>228</v>
      </c>
      <c r="F33" s="56"/>
      <c r="G33" s="45"/>
      <c r="I33" s="184" t="s">
        <v>453</v>
      </c>
      <c r="J33" s="185" t="s">
        <v>454</v>
      </c>
      <c r="K33" s="186">
        <v>4</v>
      </c>
      <c r="L33" s="187" t="s">
        <v>455</v>
      </c>
      <c r="M33" s="170"/>
    </row>
    <row r="34" spans="2:13" ht="18" thickBot="1">
      <c r="B34" s="45"/>
      <c r="C34" s="45"/>
      <c r="D34" s="134" t="s">
        <v>389</v>
      </c>
      <c r="E34" s="162">
        <v>2048</v>
      </c>
      <c r="F34" s="163" t="s">
        <v>230</v>
      </c>
      <c r="G34" s="45"/>
      <c r="I34" s="184" t="s">
        <v>456</v>
      </c>
      <c r="J34" s="185" t="s">
        <v>454</v>
      </c>
      <c r="K34" s="186">
        <v>4</v>
      </c>
      <c r="L34" s="187" t="s">
        <v>457</v>
      </c>
      <c r="M34" s="170"/>
    </row>
    <row r="35" spans="2:13" ht="18" thickBot="1">
      <c r="D35" s="134" t="str">
        <f t="shared" ref="D35:D43" si="0">"0x"&amp;DEC2HEX((HEX2DEC(MID(D34,3,5))+E34))</f>
        <v>0x80800</v>
      </c>
      <c r="E35" s="162">
        <v>4048</v>
      </c>
      <c r="F35" s="163" t="s">
        <v>234</v>
      </c>
      <c r="G35" s="45"/>
      <c r="I35" s="184" t="s">
        <v>458</v>
      </c>
      <c r="J35" s="185" t="s">
        <v>454</v>
      </c>
      <c r="K35" s="186">
        <v>4</v>
      </c>
      <c r="L35" s="187" t="s">
        <v>459</v>
      </c>
      <c r="M35" s="170"/>
    </row>
    <row r="36" spans="2:13" ht="18" thickBot="1">
      <c r="D36" s="134" t="str">
        <f t="shared" si="0"/>
        <v>0x817D0</v>
      </c>
      <c r="E36" s="162">
        <v>12288</v>
      </c>
      <c r="F36" s="163" t="s">
        <v>392</v>
      </c>
      <c r="G36" s="45"/>
      <c r="I36" s="184" t="s">
        <v>460</v>
      </c>
      <c r="J36" s="185" t="s">
        <v>454</v>
      </c>
      <c r="K36" s="186">
        <v>4</v>
      </c>
      <c r="L36" s="187" t="s">
        <v>461</v>
      </c>
      <c r="M36" s="170"/>
    </row>
    <row r="37" spans="2:13" ht="30.75" thickBot="1">
      <c r="D37" s="134" t="str">
        <f t="shared" si="0"/>
        <v>0x847D0</v>
      </c>
      <c r="E37" s="162">
        <v>9216</v>
      </c>
      <c r="F37" s="163" t="s">
        <v>394</v>
      </c>
      <c r="I37" s="184" t="s">
        <v>462</v>
      </c>
      <c r="J37" s="185" t="s">
        <v>454</v>
      </c>
      <c r="K37" s="186">
        <v>136</v>
      </c>
      <c r="L37" s="187" t="s">
        <v>463</v>
      </c>
      <c r="M37" s="188"/>
    </row>
    <row r="38" spans="2:13" ht="18" thickBot="1">
      <c r="D38" s="134" t="str">
        <f t="shared" si="0"/>
        <v>0x86BD0</v>
      </c>
      <c r="E38" s="162">
        <v>5728</v>
      </c>
      <c r="F38" s="163" t="s">
        <v>236</v>
      </c>
      <c r="I38" s="184" t="s">
        <v>464</v>
      </c>
      <c r="J38" s="185" t="s">
        <v>454</v>
      </c>
      <c r="K38" s="186" t="s">
        <v>465</v>
      </c>
      <c r="L38" s="187" t="s">
        <v>466</v>
      </c>
      <c r="M38" s="188"/>
    </row>
    <row r="39" spans="2:13" ht="17.25">
      <c r="D39" s="134" t="str">
        <f>"0x"&amp;DEC2HEX((HEX2DEC(MID(D38,3,5))+E38))</f>
        <v>0x88230</v>
      </c>
      <c r="E39" s="162">
        <v>400</v>
      </c>
      <c r="F39" s="163" t="s">
        <v>467</v>
      </c>
    </row>
    <row r="40" spans="2:13" ht="17.25">
      <c r="D40" s="134" t="str">
        <f>"0x"&amp;DEC2HEX((HEX2DEC(MID(D39,3,5))+E39))</f>
        <v>0x883C0</v>
      </c>
      <c r="E40" s="162">
        <v>0</v>
      </c>
      <c r="F40" s="163"/>
    </row>
    <row r="41" spans="2:13" ht="17.25">
      <c r="D41" s="134" t="str">
        <f>"0x"&amp;DEC2HEX((HEX2DEC(MID(D40,3,5))+E40))</f>
        <v>0x883C0</v>
      </c>
      <c r="E41" s="162">
        <v>0</v>
      </c>
      <c r="F41" s="163"/>
      <c r="G41" s="171"/>
    </row>
    <row r="42" spans="2:13" ht="17.25">
      <c r="D42" s="134" t="str">
        <f t="shared" si="0"/>
        <v>0x883C0</v>
      </c>
      <c r="E42" s="162">
        <v>19520</v>
      </c>
      <c r="F42" s="163" t="s">
        <v>411</v>
      </c>
      <c r="G42" s="171"/>
    </row>
    <row r="43" spans="2:13" ht="17.25">
      <c r="D43" s="134" t="str">
        <f t="shared" si="0"/>
        <v>0x8D000</v>
      </c>
      <c r="E43" s="162">
        <v>0</v>
      </c>
      <c r="F43" s="253" t="s">
        <v>414</v>
      </c>
      <c r="G43" s="171"/>
    </row>
    <row r="44" spans="2:13" ht="17.25">
      <c r="D44" s="134" t="s">
        <v>468</v>
      </c>
      <c r="E44" s="162"/>
      <c r="F44" s="254"/>
      <c r="G44" s="171"/>
    </row>
    <row r="45" spans="2:13">
      <c r="G45" s="171"/>
    </row>
    <row r="46" spans="2:13">
      <c r="G46" s="171"/>
    </row>
    <row r="47" spans="2:13">
      <c r="G47" s="171"/>
    </row>
    <row r="48" spans="2:13">
      <c r="G48" s="171"/>
    </row>
    <row r="49" spans="7:7">
      <c r="G49" s="171"/>
    </row>
    <row r="50" spans="7:7">
      <c r="G50" s="171"/>
    </row>
    <row r="51" spans="7:7">
      <c r="G51" s="171"/>
    </row>
  </sheetData>
  <mergeCells count="29">
    <mergeCell ref="E23:E24"/>
    <mergeCell ref="F23:F24"/>
    <mergeCell ref="G23:G24"/>
    <mergeCell ref="F43:F44"/>
    <mergeCell ref="E25:E26"/>
    <mergeCell ref="F25:F26"/>
    <mergeCell ref="G25:G26"/>
    <mergeCell ref="E27:E28"/>
    <mergeCell ref="F27:F28"/>
    <mergeCell ref="G27:G28"/>
    <mergeCell ref="E19:E20"/>
    <mergeCell ref="F19:F20"/>
    <mergeCell ref="G19:G20"/>
    <mergeCell ref="E21:E22"/>
    <mergeCell ref="F21:F22"/>
    <mergeCell ref="G21:G22"/>
    <mergeCell ref="C3:C18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DB-5376-4CEF-8A02-10B2A4A0787B}">
  <dimension ref="B7:U57"/>
  <sheetViews>
    <sheetView topLeftCell="A12" zoomScaleNormal="100" workbookViewId="0">
      <selection activeCell="C26" sqref="C26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87" t="s">
        <v>166</v>
      </c>
      <c r="F8" s="287">
        <f>24*1024</f>
        <v>24576</v>
      </c>
      <c r="G8" s="252"/>
      <c r="H8" s="275" t="s">
        <v>199</v>
      </c>
      <c r="I8" s="257" t="s">
        <v>200</v>
      </c>
      <c r="J8" s="257">
        <f>F8/1024</f>
        <v>24</v>
      </c>
      <c r="K8" s="248" t="s">
        <v>201</v>
      </c>
      <c r="L8" s="257" t="str">
        <f>D8</f>
        <v>0x00000</v>
      </c>
      <c r="M8" s="257" t="str">
        <f>D9</f>
        <v>0x05FFF</v>
      </c>
      <c r="Q8" s="292" t="s">
        <v>202</v>
      </c>
      <c r="R8" s="293" t="s">
        <v>203</v>
      </c>
      <c r="S8" s="296">
        <f>96*1024</f>
        <v>98304</v>
      </c>
      <c r="T8" s="57" t="s">
        <v>204</v>
      </c>
      <c r="U8" s="284" t="s">
        <v>205</v>
      </c>
    </row>
    <row r="9" spans="2:21" ht="17.25">
      <c r="B9" s="45"/>
      <c r="C9" s="53"/>
      <c r="D9" s="38" t="s">
        <v>245</v>
      </c>
      <c r="E9" s="288"/>
      <c r="F9" s="288"/>
      <c r="G9" s="252"/>
      <c r="H9" s="275"/>
      <c r="I9" s="258"/>
      <c r="J9" s="258"/>
      <c r="K9" s="248"/>
      <c r="L9" s="258"/>
      <c r="M9" s="258"/>
      <c r="Q9" s="292"/>
      <c r="R9" s="294"/>
      <c r="S9" s="297"/>
      <c r="T9" s="57"/>
      <c r="U9" s="285"/>
    </row>
    <row r="10" spans="2:21" ht="17.25">
      <c r="B10" s="45"/>
      <c r="C10" s="53"/>
      <c r="D10" s="38" t="s">
        <v>246</v>
      </c>
      <c r="E10" s="286" t="s">
        <v>188</v>
      </c>
      <c r="F10" s="287">
        <f>4*1024</f>
        <v>4096</v>
      </c>
      <c r="G10" s="252"/>
      <c r="H10" s="289" t="s">
        <v>219</v>
      </c>
      <c r="I10" s="290" t="s">
        <v>220</v>
      </c>
      <c r="J10" s="290">
        <f>F10/1024</f>
        <v>4</v>
      </c>
      <c r="K10" s="290" t="s">
        <v>201</v>
      </c>
      <c r="L10" s="290" t="str">
        <f>D10</f>
        <v>0x06000</v>
      </c>
      <c r="M10" s="290" t="str">
        <f>D11</f>
        <v>0x06FFFF</v>
      </c>
      <c r="Q10" s="292"/>
      <c r="R10" s="295"/>
      <c r="S10" s="298"/>
      <c r="T10" s="57" t="s">
        <v>208</v>
      </c>
      <c r="U10" s="285"/>
    </row>
    <row r="11" spans="2:21" ht="16.350000000000001" customHeight="1">
      <c r="B11" s="45"/>
      <c r="C11" s="53"/>
      <c r="D11" s="38" t="s">
        <v>247</v>
      </c>
      <c r="E11" s="286"/>
      <c r="F11" s="288"/>
      <c r="G11" s="252"/>
      <c r="H11" s="289"/>
      <c r="I11" s="291"/>
      <c r="J11" s="291"/>
      <c r="K11" s="291"/>
      <c r="L11" s="291"/>
      <c r="M11" s="291"/>
      <c r="Q11" s="270" t="s">
        <v>211</v>
      </c>
      <c r="R11" s="59" t="str">
        <f>F33</f>
        <v>FW_Config</v>
      </c>
      <c r="S11" s="60">
        <f>E33</f>
        <v>1920</v>
      </c>
      <c r="T11" s="57" t="str">
        <f>G33</f>
        <v>0x80000</v>
      </c>
      <c r="U11" s="271" t="s">
        <v>268</v>
      </c>
    </row>
    <row r="12" spans="2:21" ht="17.25">
      <c r="B12" s="45"/>
      <c r="C12" s="53"/>
      <c r="D12" s="38" t="s">
        <v>248</v>
      </c>
      <c r="E12" s="249" t="s">
        <v>249</v>
      </c>
      <c r="F12" s="249">
        <f>HEX2DEC(MID(D13,3,5))-HEX2DEC(MID(D12,3,5))+1</f>
        <v>512</v>
      </c>
      <c r="G12" s="252"/>
      <c r="H12" s="58" t="s">
        <v>206</v>
      </c>
      <c r="I12" s="56" t="s">
        <v>207</v>
      </c>
      <c r="J12" s="56">
        <v>0.25</v>
      </c>
      <c r="K12" s="56" t="s">
        <v>201</v>
      </c>
      <c r="L12" s="56" t="str">
        <f>D12</f>
        <v>0x07000</v>
      </c>
      <c r="M12" s="56" t="s">
        <v>269</v>
      </c>
      <c r="Q12" s="270"/>
      <c r="R12" s="59" t="str">
        <f>F35</f>
        <v>EventBuf</v>
      </c>
      <c r="S12" s="60">
        <f t="shared" ref="S12:S21" si="0">E35</f>
        <v>512</v>
      </c>
      <c r="T12" s="57" t="str">
        <f t="shared" ref="T12:T21" si="1">G35</f>
        <v>0x80800</v>
      </c>
      <c r="U12" s="271"/>
    </row>
    <row r="13" spans="2:21" ht="17.25">
      <c r="B13" s="45"/>
      <c r="C13" s="53"/>
      <c r="D13" s="38" t="s">
        <v>250</v>
      </c>
      <c r="E13" s="249"/>
      <c r="F13" s="249"/>
      <c r="G13" s="252"/>
      <c r="H13" s="58" t="s">
        <v>209</v>
      </c>
      <c r="I13" s="56" t="s">
        <v>210</v>
      </c>
      <c r="J13" s="56">
        <v>0.25</v>
      </c>
      <c r="K13" s="56" t="s">
        <v>201</v>
      </c>
      <c r="L13" s="56" t="s">
        <v>270</v>
      </c>
      <c r="M13" s="56" t="str">
        <f>D13</f>
        <v>0x071FF</v>
      </c>
      <c r="Q13" s="270"/>
      <c r="R13" s="59" t="str">
        <f>F36</f>
        <v>NF</v>
      </c>
      <c r="S13" s="60">
        <f t="shared" si="0"/>
        <v>8080</v>
      </c>
      <c r="T13" s="57" t="str">
        <f t="shared" si="1"/>
        <v>0x80A00</v>
      </c>
      <c r="U13" s="271"/>
    </row>
    <row r="14" spans="2:21" ht="17.25">
      <c r="B14" s="45"/>
      <c r="C14" s="53"/>
      <c r="D14" s="41" t="s">
        <v>251</v>
      </c>
      <c r="E14" s="282" t="s">
        <v>175</v>
      </c>
      <c r="F14" s="282">
        <f>HEX2DEC(MID(D15,3,5))-HEX2DEC(MID(D14,3,5))+1</f>
        <v>98304</v>
      </c>
      <c r="G14" s="252"/>
      <c r="H14" s="283" t="s">
        <v>213</v>
      </c>
      <c r="I14" s="278" t="s">
        <v>207</v>
      </c>
      <c r="J14" s="278">
        <f>F14/1024</f>
        <v>96</v>
      </c>
      <c r="K14" s="278" t="s">
        <v>201</v>
      </c>
      <c r="L14" s="278" t="str">
        <f>D14</f>
        <v>0x07200</v>
      </c>
      <c r="M14" s="278" t="str">
        <f>D15</f>
        <v>0x1F1FF</v>
      </c>
      <c r="Q14" s="270"/>
      <c r="R14" s="59" t="str">
        <f t="shared" ref="R14:R21" si="2">F37</f>
        <v>CtrlRAM</v>
      </c>
      <c r="S14" s="60">
        <f t="shared" si="0"/>
        <v>18944</v>
      </c>
      <c r="T14" s="57" t="str">
        <f t="shared" si="1"/>
        <v>0x82990</v>
      </c>
      <c r="U14" s="271"/>
    </row>
    <row r="15" spans="2:21" ht="17.25">
      <c r="B15" s="45"/>
      <c r="C15" s="53"/>
      <c r="D15" s="41" t="s">
        <v>252</v>
      </c>
      <c r="E15" s="282"/>
      <c r="F15" s="282"/>
      <c r="G15" s="252"/>
      <c r="H15" s="283"/>
      <c r="I15" s="279"/>
      <c r="J15" s="279"/>
      <c r="K15" s="279"/>
      <c r="L15" s="279"/>
      <c r="M15" s="279"/>
      <c r="Q15" s="270"/>
      <c r="R15" s="81" t="str">
        <f t="shared" si="2"/>
        <v>MP_CtrlRAM</v>
      </c>
      <c r="S15" s="82">
        <f t="shared" si="0"/>
        <v>0</v>
      </c>
      <c r="T15" s="83" t="str">
        <f t="shared" si="1"/>
        <v>0x87390</v>
      </c>
      <c r="U15" s="271"/>
    </row>
    <row r="16" spans="2:21" ht="17.25">
      <c r="B16" s="45"/>
      <c r="C16" s="53"/>
      <c r="D16" s="42" t="s">
        <v>253</v>
      </c>
      <c r="E16" s="280" t="s">
        <v>178</v>
      </c>
      <c r="F16" s="280">
        <f>HEX2DEC(MID(D17,3,5))-HEX2DEC(MID(D16,3,5))+1</f>
        <v>57088</v>
      </c>
      <c r="G16" s="252"/>
      <c r="H16" s="281" t="s">
        <v>214</v>
      </c>
      <c r="I16" s="261" t="s">
        <v>215</v>
      </c>
      <c r="J16" s="261">
        <f>F16/1024</f>
        <v>55.75</v>
      </c>
      <c r="K16" s="261" t="s">
        <v>201</v>
      </c>
      <c r="L16" s="261" t="str">
        <f>D16</f>
        <v>0x1F200</v>
      </c>
      <c r="M16" s="261" t="str">
        <f>D17</f>
        <v>0x2D0FF</v>
      </c>
      <c r="Q16" s="270"/>
      <c r="R16" s="59" t="str">
        <f t="shared" si="2"/>
        <v>Vnoise Ctrlram</v>
      </c>
      <c r="S16" s="60">
        <f t="shared" si="0"/>
        <v>280</v>
      </c>
      <c r="T16" s="57" t="str">
        <f t="shared" si="1"/>
        <v>0x87390</v>
      </c>
      <c r="U16" s="271"/>
    </row>
    <row r="17" spans="2:21" ht="17.25">
      <c r="B17" s="45"/>
      <c r="C17" s="53"/>
      <c r="D17" s="42" t="s">
        <v>254</v>
      </c>
      <c r="E17" s="280"/>
      <c r="F17" s="280"/>
      <c r="G17" s="252"/>
      <c r="H17" s="281"/>
      <c r="I17" s="262"/>
      <c r="J17" s="262"/>
      <c r="K17" s="262"/>
      <c r="L17" s="262"/>
      <c r="M17" s="262"/>
      <c r="Q17" s="270"/>
      <c r="R17" s="59" t="str">
        <f t="shared" si="2"/>
        <v>PU Table</v>
      </c>
      <c r="S17" s="60">
        <f t="shared" si="0"/>
        <v>512</v>
      </c>
      <c r="T17" s="57" t="str">
        <f t="shared" si="1"/>
        <v>0x874A8</v>
      </c>
      <c r="U17" s="271"/>
    </row>
    <row r="18" spans="2:21" ht="17.25">
      <c r="B18" s="45"/>
      <c r="C18" s="53"/>
      <c r="D18" s="38" t="str">
        <f>"0x"&amp;DEC2HEX(HEX2DEC(MID(D17,3,5))+1)</f>
        <v>0x2D100</v>
      </c>
      <c r="E18" s="249" t="s">
        <v>255</v>
      </c>
      <c r="F18" s="249">
        <f>HEX2DEC(MID(D19,3,5))-HEX2DEC(MID(D18,3,5))+1</f>
        <v>73472</v>
      </c>
      <c r="G18" s="252">
        <f>F18/5120</f>
        <v>14.35</v>
      </c>
      <c r="H18" s="275" t="s">
        <v>271</v>
      </c>
      <c r="I18" s="276" t="s">
        <v>207</v>
      </c>
      <c r="J18" s="276">
        <f>F18/1024</f>
        <v>71.75</v>
      </c>
      <c r="K18" s="257" t="s">
        <v>201</v>
      </c>
      <c r="L18" s="257" t="str">
        <f>D18</f>
        <v>0x2D100</v>
      </c>
      <c r="M18" s="257" t="str">
        <f>D19</f>
        <v>0x3EFFF</v>
      </c>
      <c r="Q18" s="270"/>
      <c r="R18" s="59" t="str">
        <f t="shared" si="2"/>
        <v>VNTable</v>
      </c>
      <c r="S18" s="60">
        <f t="shared" si="0"/>
        <v>4096</v>
      </c>
      <c r="T18" s="57" t="str">
        <f t="shared" si="1"/>
        <v>0x876A8</v>
      </c>
      <c r="U18" s="271"/>
    </row>
    <row r="19" spans="2:21" ht="17.25">
      <c r="B19" s="45"/>
      <c r="C19" s="46"/>
      <c r="D19" s="38" t="s">
        <v>260</v>
      </c>
      <c r="E19" s="249"/>
      <c r="F19" s="249"/>
      <c r="G19" s="252"/>
      <c r="H19" s="275"/>
      <c r="I19" s="277"/>
      <c r="J19" s="277"/>
      <c r="K19" s="258"/>
      <c r="L19" s="258"/>
      <c r="M19" s="258"/>
      <c r="Q19" s="270"/>
      <c r="R19" s="59" t="str">
        <f t="shared" si="2"/>
        <v>stair Table</v>
      </c>
      <c r="S19" s="60">
        <f t="shared" si="0"/>
        <v>900</v>
      </c>
      <c r="T19" s="57" t="str">
        <f t="shared" si="1"/>
        <v>0x886A8</v>
      </c>
      <c r="U19" s="271"/>
    </row>
    <row r="20" spans="2:21" ht="17.25">
      <c r="B20" s="45"/>
      <c r="C20" s="53"/>
      <c r="D20" s="38" t="s">
        <v>256</v>
      </c>
      <c r="E20" s="249" t="s">
        <v>183</v>
      </c>
      <c r="F20" s="249">
        <f>HEX2DEC(MID(D21,3,5))-HEX2DEC(MID(D20,3,5))+1</f>
        <v>4092</v>
      </c>
      <c r="G20" s="252"/>
      <c r="H20" s="272" t="s">
        <v>217</v>
      </c>
      <c r="I20" s="257" t="s">
        <v>218</v>
      </c>
      <c r="J20" s="257">
        <f>(F20+F22)/1024</f>
        <v>4</v>
      </c>
      <c r="K20" s="257" t="s">
        <v>201</v>
      </c>
      <c r="L20" s="257" t="str">
        <f>D20</f>
        <v>0x3F000</v>
      </c>
      <c r="M20" s="257" t="str">
        <f>D23</f>
        <v>0x3FFFF</v>
      </c>
      <c r="N20" s="1"/>
      <c r="Q20" s="270"/>
      <c r="R20" s="59" t="str">
        <f t="shared" si="2"/>
        <v>1D Col Ganing Table</v>
      </c>
      <c r="S20" s="60">
        <f t="shared" si="0"/>
        <v>452</v>
      </c>
      <c r="T20" s="57" t="str">
        <f t="shared" si="1"/>
        <v>0x88A2C</v>
      </c>
      <c r="U20" s="271"/>
    </row>
    <row r="21" spans="2:21" ht="16.350000000000001" customHeight="1">
      <c r="B21" s="45"/>
      <c r="C21" s="46"/>
      <c r="D21" s="38" t="s">
        <v>257</v>
      </c>
      <c r="E21" s="249"/>
      <c r="F21" s="249"/>
      <c r="G21" s="252"/>
      <c r="H21" s="273"/>
      <c r="I21" s="263"/>
      <c r="J21" s="263"/>
      <c r="K21" s="263"/>
      <c r="L21" s="263"/>
      <c r="M21" s="263"/>
      <c r="N21" s="1"/>
      <c r="Q21" s="270"/>
      <c r="R21" s="59" t="str">
        <f t="shared" si="2"/>
        <v>VN Mask Table</v>
      </c>
      <c r="S21" s="60">
        <f t="shared" si="0"/>
        <v>256</v>
      </c>
      <c r="T21" s="57" t="str">
        <f t="shared" si="1"/>
        <v>0x88BF0</v>
      </c>
      <c r="U21" s="271"/>
    </row>
    <row r="22" spans="2:21" ht="17.25">
      <c r="B22" s="45"/>
      <c r="C22" s="53"/>
      <c r="D22" s="38" t="str">
        <f>"0x"&amp;DEC2HEX(HEX2DEC(MID(D21,3,5))+1)</f>
        <v>0x3FFFC</v>
      </c>
      <c r="E22" s="249" t="s">
        <v>185</v>
      </c>
      <c r="F22" s="249">
        <f>HEX2DEC(MID(D23,3,5))-HEX2DEC(MID(D22,3,5))+1</f>
        <v>4</v>
      </c>
      <c r="G22" s="252"/>
      <c r="H22" s="273"/>
      <c r="I22" s="263"/>
      <c r="J22" s="263"/>
      <c r="K22" s="263"/>
      <c r="L22" s="263"/>
      <c r="M22" s="263"/>
      <c r="N22" s="1"/>
      <c r="Q22" s="270"/>
      <c r="R22" s="59" t="str">
        <f>F45</f>
        <v>Header Copy</v>
      </c>
      <c r="S22" s="60">
        <f>E45</f>
        <v>512</v>
      </c>
      <c r="T22" s="57" t="str">
        <f>G45</f>
        <v>0x88CF0</v>
      </c>
      <c r="U22" s="271"/>
    </row>
    <row r="23" spans="2:21" ht="17.25">
      <c r="B23" s="45"/>
      <c r="C23" s="45"/>
      <c r="D23" s="38" t="s">
        <v>258</v>
      </c>
      <c r="E23" s="249"/>
      <c r="F23" s="249"/>
      <c r="G23" s="252"/>
      <c r="H23" s="274"/>
      <c r="I23" s="258"/>
      <c r="J23" s="258"/>
      <c r="K23" s="258"/>
      <c r="L23" s="258"/>
      <c r="M23" s="258"/>
      <c r="Q23" s="270"/>
      <c r="R23" s="59" t="s">
        <v>272</v>
      </c>
      <c r="S23" s="60">
        <v>256</v>
      </c>
      <c r="T23" s="57" t="str">
        <f t="shared" ref="T23:T25" si="3">G46</f>
        <v>0x88EF0</v>
      </c>
      <c r="U23" s="271"/>
    </row>
    <row r="24" spans="2:21" ht="18" thickBot="1">
      <c r="B24" s="45"/>
      <c r="C24" s="45"/>
      <c r="D24" s="47"/>
      <c r="E24" s="69"/>
      <c r="F24" s="47">
        <f>SUM(F8:F23)</f>
        <v>262144</v>
      </c>
      <c r="G24" s="47">
        <f>F24/1024</f>
        <v>256</v>
      </c>
      <c r="H24" s="65" t="s">
        <v>221</v>
      </c>
      <c r="I24" s="66"/>
      <c r="J24" s="67">
        <f>SUM(J8:J23)</f>
        <v>256</v>
      </c>
      <c r="K24" s="66"/>
      <c r="L24" s="66"/>
      <c r="M24" s="66"/>
      <c r="Q24" s="270"/>
      <c r="R24" s="64" t="s">
        <v>273</v>
      </c>
      <c r="S24" s="60">
        <v>16</v>
      </c>
      <c r="T24" s="57" t="str">
        <f t="shared" si="3"/>
        <v>0x88FF0</v>
      </c>
      <c r="U24" s="271"/>
    </row>
    <row r="25" spans="2:21" ht="17.25">
      <c r="B25" s="45"/>
      <c r="C25" s="45"/>
      <c r="D25" s="47"/>
      <c r="E25" s="69"/>
      <c r="F25" s="47"/>
      <c r="G25" s="47"/>
      <c r="H25" s="1"/>
      <c r="Q25" s="270"/>
      <c r="R25" s="64" t="str">
        <f>F48</f>
        <v>.data + .bss + .stack</v>
      </c>
      <c r="S25" s="60">
        <f>E48</f>
        <v>20224</v>
      </c>
      <c r="T25" s="57" t="str">
        <f t="shared" si="3"/>
        <v>0x89000</v>
      </c>
      <c r="U25" s="271"/>
    </row>
    <row r="26" spans="2:21" ht="17.25">
      <c r="B26" s="45"/>
      <c r="C26" s="45"/>
      <c r="D26" s="47"/>
      <c r="E26" s="69"/>
      <c r="F26" s="47"/>
      <c r="H26" s="1"/>
      <c r="Q26" s="270"/>
      <c r="R26" s="68" t="s">
        <v>222</v>
      </c>
      <c r="S26" s="68"/>
      <c r="T26" s="57" t="s">
        <v>274</v>
      </c>
      <c r="U26" s="271"/>
    </row>
    <row r="27" spans="2:21" ht="17.25">
      <c r="B27" s="45"/>
      <c r="C27" s="45"/>
      <c r="D27" s="47"/>
      <c r="E27" s="69"/>
      <c r="F27" s="47"/>
      <c r="H27" s="1"/>
      <c r="Q27" s="267" t="s">
        <v>223</v>
      </c>
      <c r="R27" s="268" t="s">
        <v>224</v>
      </c>
      <c r="S27" s="264">
        <v>4096</v>
      </c>
      <c r="T27" s="57" t="s">
        <v>225</v>
      </c>
      <c r="U27" s="264" t="s">
        <v>223</v>
      </c>
    </row>
    <row r="28" spans="2:21" ht="17.25">
      <c r="B28" s="45"/>
      <c r="C28" s="45"/>
      <c r="D28" s="47"/>
      <c r="E28" s="69"/>
      <c r="F28" s="47"/>
      <c r="Q28" s="267"/>
      <c r="R28" s="269"/>
      <c r="S28" s="265"/>
      <c r="T28" s="57" t="s">
        <v>226</v>
      </c>
      <c r="U28" s="265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8" thickBot="1">
      <c r="B31" s="45"/>
      <c r="C31" s="45"/>
      <c r="D31" s="266"/>
      <c r="E31" s="266"/>
      <c r="F31" s="47"/>
      <c r="U31" s="1"/>
    </row>
    <row r="32" spans="2:21" ht="18" thickBot="1">
      <c r="B32" s="45"/>
      <c r="C32" s="45"/>
      <c r="D32" s="70" t="s">
        <v>227</v>
      </c>
      <c r="E32" s="71" t="s">
        <v>228</v>
      </c>
      <c r="F32" s="71"/>
      <c r="G32" s="72" t="s">
        <v>229</v>
      </c>
      <c r="U32" s="1"/>
    </row>
    <row r="33" spans="2:21" ht="17.25">
      <c r="B33" s="45"/>
      <c r="C33" s="45"/>
      <c r="D33" s="73" t="s">
        <v>253</v>
      </c>
      <c r="E33" s="74">
        <v>1920</v>
      </c>
      <c r="F33" s="74" t="s">
        <v>230</v>
      </c>
      <c r="G33" s="75" t="s">
        <v>231</v>
      </c>
    </row>
    <row r="34" spans="2:21" ht="17.25">
      <c r="B34" s="45"/>
      <c r="C34" s="45"/>
      <c r="D34" s="84" t="str">
        <f>"0x"&amp;DEC2HEX((HEX2DEC((MID(D33,3,5)))+E33))</f>
        <v>0x1F980</v>
      </c>
      <c r="E34" s="74">
        <v>128</v>
      </c>
      <c r="F34" s="74" t="s">
        <v>275</v>
      </c>
      <c r="G34" s="85" t="str">
        <f>"0x"&amp;DEC2HEX((HEX2DEC((MID(G33,3,5)))+E33))</f>
        <v>0x80780</v>
      </c>
    </row>
    <row r="35" spans="2:21" ht="17.25">
      <c r="B35" s="45"/>
      <c r="C35" s="45"/>
      <c r="D35" s="84" t="str">
        <f>"0x"&amp;DEC2HEX((HEX2DEC((MID(D34,3,5)))+E34))</f>
        <v>0x1FA00</v>
      </c>
      <c r="E35" s="76">
        <v>512</v>
      </c>
      <c r="F35" s="76" t="s">
        <v>233</v>
      </c>
      <c r="G35" s="85" t="str">
        <f>"0x"&amp;DEC2HEX((HEX2DEC((MID(G34,3,5)))+E34))</f>
        <v>0x80800</v>
      </c>
    </row>
    <row r="36" spans="2:21" ht="15.75">
      <c r="D36" s="84" t="str">
        <f t="shared" ref="D36:D49" si="4">"0x"&amp;DEC2HEX((HEX2DEC((MID(D35,3,5)))+E35))</f>
        <v>0x1FC00</v>
      </c>
      <c r="E36" s="76">
        <v>8080</v>
      </c>
      <c r="F36" s="76" t="s">
        <v>234</v>
      </c>
      <c r="G36" s="85" t="str">
        <f t="shared" ref="G36:G49" si="5">"0x"&amp;DEC2HEX((HEX2DEC((MID(G35,3,5)))+E35))</f>
        <v>0x80A00</v>
      </c>
    </row>
    <row r="37" spans="2:21" ht="15.75">
      <c r="D37" s="84" t="str">
        <f t="shared" si="4"/>
        <v>0x21B90</v>
      </c>
      <c r="E37" s="76">
        <v>18944</v>
      </c>
      <c r="F37" s="76" t="s">
        <v>235</v>
      </c>
      <c r="G37" s="85" t="str">
        <f t="shared" si="5"/>
        <v>0x82990</v>
      </c>
    </row>
    <row r="38" spans="2:21" s="86" customFormat="1" ht="15.75">
      <c r="D38" s="87" t="str">
        <f t="shared" si="4"/>
        <v>0x26590</v>
      </c>
      <c r="E38" s="88">
        <v>0</v>
      </c>
      <c r="F38" s="88" t="s">
        <v>276</v>
      </c>
      <c r="G38" s="89" t="str">
        <f t="shared" si="5"/>
        <v>0x87390</v>
      </c>
      <c r="J38" s="90"/>
      <c r="Q38" s="90"/>
      <c r="R38"/>
      <c r="S38"/>
      <c r="T38"/>
      <c r="U38" s="90"/>
    </row>
    <row r="39" spans="2:21" ht="15.75">
      <c r="D39" s="91" t="str">
        <f t="shared" si="4"/>
        <v>0x26590</v>
      </c>
      <c r="E39" s="92">
        <v>280</v>
      </c>
      <c r="F39" s="92" t="s">
        <v>236</v>
      </c>
      <c r="G39" s="93" t="str">
        <f t="shared" si="5"/>
        <v>0x87390</v>
      </c>
      <c r="H39">
        <f>SUM(E39:E44)</f>
        <v>6496</v>
      </c>
      <c r="R39" s="86"/>
      <c r="S39" s="86"/>
      <c r="T39" s="86"/>
    </row>
    <row r="40" spans="2:21" ht="15.75">
      <c r="D40" s="91" t="str">
        <f t="shared" si="4"/>
        <v>0x266A8</v>
      </c>
      <c r="E40" s="92">
        <v>512</v>
      </c>
      <c r="F40" s="92" t="s">
        <v>237</v>
      </c>
      <c r="G40" s="93" t="str">
        <f t="shared" si="5"/>
        <v>0x874A8</v>
      </c>
    </row>
    <row r="41" spans="2:21" ht="15.75">
      <c r="D41" s="91" t="str">
        <f t="shared" si="4"/>
        <v>0x268A8</v>
      </c>
      <c r="E41" s="92">
        <v>4096</v>
      </c>
      <c r="F41" s="92" t="s">
        <v>238</v>
      </c>
      <c r="G41" s="93" t="str">
        <f t="shared" si="5"/>
        <v>0x876A8</v>
      </c>
      <c r="H41" s="1"/>
    </row>
    <row r="42" spans="2:21" ht="15.75">
      <c r="D42" s="91" t="str">
        <f t="shared" si="4"/>
        <v>0x278A8</v>
      </c>
      <c r="E42" s="92">
        <v>900</v>
      </c>
      <c r="F42" s="92" t="s">
        <v>239</v>
      </c>
      <c r="G42" s="93" t="str">
        <f t="shared" si="5"/>
        <v>0x886A8</v>
      </c>
      <c r="H42" s="1"/>
    </row>
    <row r="43" spans="2:21" ht="15.75">
      <c r="D43" s="91" t="str">
        <f t="shared" si="4"/>
        <v>0x27C2C</v>
      </c>
      <c r="E43" s="92">
        <v>452</v>
      </c>
      <c r="F43" s="92" t="s">
        <v>240</v>
      </c>
      <c r="G43" s="93" t="str">
        <f t="shared" si="5"/>
        <v>0x88A2C</v>
      </c>
      <c r="H43" s="1"/>
    </row>
    <row r="44" spans="2:21" ht="15.75">
      <c r="D44" s="91" t="str">
        <f t="shared" si="4"/>
        <v>0x27DF0</v>
      </c>
      <c r="E44" s="92">
        <v>256</v>
      </c>
      <c r="F44" s="92" t="s">
        <v>241</v>
      </c>
      <c r="G44" s="93" t="str">
        <f t="shared" si="5"/>
        <v>0x88BF0</v>
      </c>
      <c r="H44" s="1"/>
    </row>
    <row r="45" spans="2:21" ht="15.75">
      <c r="D45" s="84" t="str">
        <f t="shared" si="4"/>
        <v>0x27EF0</v>
      </c>
      <c r="E45" s="76">
        <v>512</v>
      </c>
      <c r="F45" s="76" t="s">
        <v>242</v>
      </c>
      <c r="G45" s="85" t="str">
        <f t="shared" si="5"/>
        <v>0x88CF0</v>
      </c>
      <c r="H45" s="1"/>
    </row>
    <row r="46" spans="2:21" ht="15.75">
      <c r="D46" s="84" t="str">
        <f t="shared" si="4"/>
        <v>0x280F0</v>
      </c>
      <c r="E46" s="76">
        <v>256</v>
      </c>
      <c r="F46" s="76" t="s">
        <v>277</v>
      </c>
      <c r="G46" s="85" t="str">
        <f t="shared" si="5"/>
        <v>0x88EF0</v>
      </c>
      <c r="H46" s="1"/>
    </row>
    <row r="47" spans="2:21" ht="15.75">
      <c r="D47" s="94" t="str">
        <f>"0x"&amp;DEC2HEX((HEX2DEC((MID(D46,3,5)))+E46))</f>
        <v>0x281F0</v>
      </c>
      <c r="E47" s="95">
        <v>16</v>
      </c>
      <c r="F47" s="95" t="s">
        <v>273</v>
      </c>
      <c r="G47" s="96" t="str">
        <f>"0x"&amp;DEC2HEX((HEX2DEC((MID(G46,3,5)))+E46))</f>
        <v>0x88FF0</v>
      </c>
      <c r="H47" s="1"/>
    </row>
    <row r="48" spans="2:21" ht="15.75">
      <c r="D48" s="84" t="str">
        <f t="shared" si="4"/>
        <v>0x28200</v>
      </c>
      <c r="E48" s="76">
        <v>20224</v>
      </c>
      <c r="F48" s="76" t="s">
        <v>243</v>
      </c>
      <c r="G48" s="85" t="str">
        <f t="shared" si="5"/>
        <v>0x89000</v>
      </c>
      <c r="H48" s="1"/>
    </row>
    <row r="49" spans="4:8" ht="16.5" thickBot="1">
      <c r="D49" s="97" t="str">
        <f t="shared" si="4"/>
        <v>0x2D100</v>
      </c>
      <c r="E49" s="77"/>
      <c r="F49" s="78"/>
      <c r="G49" s="98" t="str">
        <f t="shared" si="5"/>
        <v>0x8DF00</v>
      </c>
      <c r="H49" s="1"/>
    </row>
    <row r="50" spans="4:8">
      <c r="H50" s="1"/>
    </row>
    <row r="51" spans="4:8">
      <c r="H51" s="1"/>
    </row>
    <row r="52" spans="4:8">
      <c r="H52" s="1"/>
    </row>
    <row r="53" spans="4:8">
      <c r="H53" s="1"/>
    </row>
    <row r="54" spans="4:8">
      <c r="H54" s="1"/>
    </row>
    <row r="55" spans="4:8">
      <c r="H55" s="1"/>
    </row>
    <row r="56" spans="4:8">
      <c r="H56" s="1"/>
    </row>
    <row r="57" spans="4:8">
      <c r="H57" s="1"/>
    </row>
  </sheetData>
  <mergeCells count="70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Q8:Q10"/>
    <mergeCell ref="R8:R10"/>
    <mergeCell ref="S8:S10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E14:E15"/>
    <mergeCell ref="F14:F15"/>
    <mergeCell ref="G14:G15"/>
    <mergeCell ref="H14:H15"/>
    <mergeCell ref="I14:I15"/>
    <mergeCell ref="K16:K17"/>
    <mergeCell ref="L16:L17"/>
    <mergeCell ref="M16:M17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E20:E21"/>
    <mergeCell ref="F20:F21"/>
    <mergeCell ref="G20:G23"/>
    <mergeCell ref="H20:H23"/>
    <mergeCell ref="I20:I23"/>
    <mergeCell ref="J20:J23"/>
    <mergeCell ref="K20:K23"/>
    <mergeCell ref="L20:L23"/>
    <mergeCell ref="U27:U28"/>
    <mergeCell ref="D31:E31"/>
    <mergeCell ref="M20:M23"/>
    <mergeCell ref="E22:E23"/>
    <mergeCell ref="F22:F23"/>
    <mergeCell ref="Q27:Q28"/>
    <mergeCell ref="R27:R28"/>
    <mergeCell ref="S27:S28"/>
    <mergeCell ref="Q11:Q26"/>
    <mergeCell ref="U11:U26"/>
    <mergeCell ref="E12:E13"/>
    <mergeCell ref="F12:F13"/>
    <mergeCell ref="G12:G1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DF93-71FB-4B19-8B86-F95D1A315B30}">
  <dimension ref="B4:U55"/>
  <sheetViews>
    <sheetView topLeftCell="A17" zoomScale="70" zoomScaleNormal="70" workbookViewId="0">
      <selection activeCell="E3" sqref="E3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4.42578125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9" max="19" width="12.5703125" customWidth="1"/>
    <col min="20" max="20" width="21.42578125" customWidth="1"/>
    <col min="21" max="21" width="9.85546875" style="44"/>
  </cols>
  <sheetData>
    <row r="4" spans="2:21" ht="15.75">
      <c r="Q4" s="99" t="s">
        <v>195</v>
      </c>
      <c r="R4" s="100"/>
      <c r="S4" s="100"/>
      <c r="T4" s="100" t="s">
        <v>197</v>
      </c>
      <c r="U4" s="99" t="s">
        <v>198</v>
      </c>
    </row>
    <row r="5" spans="2:21" ht="15.75">
      <c r="Q5" s="319" t="s">
        <v>202</v>
      </c>
      <c r="R5" s="320" t="s">
        <v>278</v>
      </c>
      <c r="S5" s="321"/>
      <c r="T5" s="101" t="s">
        <v>279</v>
      </c>
      <c r="U5" s="326" t="s">
        <v>205</v>
      </c>
    </row>
    <row r="6" spans="2:21" ht="15.75">
      <c r="Q6" s="319"/>
      <c r="R6" s="322"/>
      <c r="S6" s="323"/>
      <c r="T6" s="101"/>
      <c r="U6" s="327"/>
    </row>
    <row r="7" spans="2:21" ht="17.25">
      <c r="B7" s="45"/>
      <c r="C7" s="102"/>
      <c r="D7" s="37" t="s">
        <v>162</v>
      </c>
      <c r="E7" s="37" t="s">
        <v>163</v>
      </c>
      <c r="F7" s="37" t="s">
        <v>164</v>
      </c>
      <c r="G7" s="45"/>
      <c r="H7" s="48" t="s">
        <v>280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319"/>
      <c r="R7" s="324"/>
      <c r="S7" s="325"/>
      <c r="T7" s="101" t="s">
        <v>281</v>
      </c>
      <c r="U7" s="327"/>
    </row>
    <row r="8" spans="2:21" ht="17.25" customHeight="1">
      <c r="B8" s="45"/>
      <c r="C8" s="103"/>
      <c r="D8" s="38" t="s">
        <v>282</v>
      </c>
      <c r="E8" s="249" t="s">
        <v>283</v>
      </c>
      <c r="F8" s="249">
        <f>1024*24</f>
        <v>24576</v>
      </c>
      <c r="G8" s="316" t="s">
        <v>284</v>
      </c>
      <c r="H8" s="104" t="s">
        <v>285</v>
      </c>
      <c r="I8" s="55" t="s">
        <v>200</v>
      </c>
      <c r="J8" s="56">
        <v>24</v>
      </c>
      <c r="K8" s="55" t="s">
        <v>201</v>
      </c>
      <c r="L8" s="55" t="str">
        <f>D8</f>
        <v>0x0000</v>
      </c>
      <c r="M8" s="55" t="str">
        <f>D9</f>
        <v>0x5FFF</v>
      </c>
      <c r="Q8" s="328" t="s">
        <v>211</v>
      </c>
      <c r="R8" s="329" t="s">
        <v>286</v>
      </c>
      <c r="S8" s="330"/>
      <c r="T8" s="101" t="s">
        <v>287</v>
      </c>
      <c r="U8" s="105" t="s">
        <v>268</v>
      </c>
    </row>
    <row r="9" spans="2:21" ht="17.25">
      <c r="B9" s="45"/>
      <c r="C9" s="103"/>
      <c r="D9" s="38" t="str">
        <f>"0x"&amp;(DEC2HEX(MID(F8,1,5)-1))</f>
        <v>0x5FFF</v>
      </c>
      <c r="E9" s="249"/>
      <c r="F9" s="249"/>
      <c r="G9" s="316"/>
      <c r="H9" s="106" t="s">
        <v>288</v>
      </c>
      <c r="I9" s="61" t="s">
        <v>289</v>
      </c>
      <c r="J9" s="107">
        <v>4</v>
      </c>
      <c r="K9" s="61" t="s">
        <v>201</v>
      </c>
      <c r="L9" s="61" t="str">
        <f>D10</f>
        <v>0x6000</v>
      </c>
      <c r="M9" s="61" t="str">
        <f>D11</f>
        <v>0x6FFF</v>
      </c>
      <c r="Q9" s="328"/>
      <c r="R9" s="314" t="s">
        <v>290</v>
      </c>
      <c r="S9" s="315"/>
      <c r="T9" s="109"/>
      <c r="U9" s="110"/>
    </row>
    <row r="10" spans="2:21" ht="17.25">
      <c r="B10" s="45"/>
      <c r="C10" s="103"/>
      <c r="D10" s="38" t="str">
        <f>"0x"&amp;DEC2HEX(HEX2DEC(MID(D9,3,5))+1)</f>
        <v>0x6000</v>
      </c>
      <c r="E10" s="286" t="s">
        <v>188</v>
      </c>
      <c r="F10" s="249">
        <v>4096</v>
      </c>
      <c r="G10" s="316" t="s">
        <v>291</v>
      </c>
      <c r="H10" s="104" t="s">
        <v>244</v>
      </c>
      <c r="I10" s="58" t="s">
        <v>292</v>
      </c>
      <c r="J10" s="40">
        <v>0.25</v>
      </c>
      <c r="K10" s="58" t="s">
        <v>201</v>
      </c>
      <c r="L10" s="58" t="str">
        <f>D12</f>
        <v>0x7000</v>
      </c>
      <c r="M10" s="58" t="str">
        <f>D13</f>
        <v>0x70FF</v>
      </c>
      <c r="Q10" s="328"/>
      <c r="R10" s="101" t="s">
        <v>293</v>
      </c>
      <c r="S10" s="108"/>
      <c r="T10" s="111"/>
      <c r="U10" s="110"/>
    </row>
    <row r="11" spans="2:21" ht="17.25">
      <c r="B11" s="45"/>
      <c r="C11" s="103"/>
      <c r="D11" s="40" t="str">
        <f>"0x"&amp;(DEC2HEX((HEX2DEC(MID(D10,3,5)))+MID(F10,1,5)-1))</f>
        <v>0x6FFF</v>
      </c>
      <c r="E11" s="286"/>
      <c r="F11" s="249"/>
      <c r="G11" s="316"/>
      <c r="H11" s="104" t="s">
        <v>172</v>
      </c>
      <c r="I11" s="58" t="s">
        <v>292</v>
      </c>
      <c r="J11" s="40">
        <v>0.25</v>
      </c>
      <c r="K11" s="58" t="s">
        <v>201</v>
      </c>
      <c r="L11" s="58" t="str">
        <f>D14</f>
        <v>0x7100</v>
      </c>
      <c r="M11" s="58" t="str">
        <f>D15</f>
        <v>0x71FF</v>
      </c>
      <c r="Q11" s="328"/>
      <c r="R11" s="313" t="s">
        <v>294</v>
      </c>
      <c r="S11" s="314"/>
      <c r="T11" s="111"/>
      <c r="U11" s="110"/>
    </row>
    <row r="12" spans="2:21" ht="17.25">
      <c r="B12" s="45"/>
      <c r="C12" s="103"/>
      <c r="D12" s="38" t="str">
        <f>"0x"&amp;DEC2HEX(HEX2DEC(MID(D11,3,5))+1)</f>
        <v>0x7000</v>
      </c>
      <c r="E12" s="249" t="s">
        <v>169</v>
      </c>
      <c r="F12" s="249">
        <v>256</v>
      </c>
      <c r="G12" s="316" t="s">
        <v>295</v>
      </c>
      <c r="H12" s="112" t="s">
        <v>213</v>
      </c>
      <c r="I12" s="55" t="s">
        <v>292</v>
      </c>
      <c r="J12" s="56">
        <v>96</v>
      </c>
      <c r="K12" s="55" t="s">
        <v>201</v>
      </c>
      <c r="L12" s="55" t="str">
        <f>D16</f>
        <v>0x7200</v>
      </c>
      <c r="M12" s="55" t="str">
        <f>D17</f>
        <v>0x1F1FF</v>
      </c>
      <c r="Q12" s="328"/>
      <c r="R12" s="313" t="s">
        <v>296</v>
      </c>
      <c r="S12" s="314"/>
      <c r="T12" s="111"/>
      <c r="U12" s="110"/>
    </row>
    <row r="13" spans="2:21" ht="17.25">
      <c r="B13" s="45"/>
      <c r="C13" s="103"/>
      <c r="D13" s="40" t="str">
        <f>"0x"&amp;(DEC2HEX((HEX2DEC(MID(D12,3,5)))+MID(F12,1,5)-1))</f>
        <v>0x70FF</v>
      </c>
      <c r="E13" s="249"/>
      <c r="F13" s="249"/>
      <c r="G13" s="316"/>
      <c r="H13" s="112" t="s">
        <v>214</v>
      </c>
      <c r="I13" s="55" t="s">
        <v>292</v>
      </c>
      <c r="J13" s="56">
        <v>64</v>
      </c>
      <c r="K13" s="55" t="s">
        <v>201</v>
      </c>
      <c r="L13" s="55" t="str">
        <f>D18</f>
        <v>0x1F200</v>
      </c>
      <c r="M13" s="58" t="str">
        <f>D19</f>
        <v>0x2F1FF</v>
      </c>
      <c r="Q13" s="328"/>
      <c r="R13" s="313" t="s">
        <v>297</v>
      </c>
      <c r="S13" s="314"/>
      <c r="T13" s="111"/>
      <c r="U13" s="110"/>
    </row>
    <row r="14" spans="2:21" ht="17.25">
      <c r="B14" s="45"/>
      <c r="C14" s="103"/>
      <c r="D14" s="38" t="str">
        <f>"0x"&amp;DEC2HEX(HEX2DEC(MID(D13,3,5))+1)</f>
        <v>0x7100</v>
      </c>
      <c r="E14" s="249" t="s">
        <v>259</v>
      </c>
      <c r="F14" s="249">
        <v>256</v>
      </c>
      <c r="G14" s="316" t="s">
        <v>295</v>
      </c>
      <c r="H14" s="113" t="s">
        <v>271</v>
      </c>
      <c r="I14" s="114" t="s">
        <v>292</v>
      </c>
      <c r="J14" s="115">
        <v>63.5</v>
      </c>
      <c r="K14" s="114" t="s">
        <v>201</v>
      </c>
      <c r="L14" s="116" t="str">
        <f>D20</f>
        <v>0x2F200</v>
      </c>
      <c r="M14" s="116" t="str">
        <f>D21</f>
        <v>0x3EFFF</v>
      </c>
      <c r="Q14" s="328"/>
      <c r="R14" s="317" t="s">
        <v>298</v>
      </c>
      <c r="S14" s="318"/>
      <c r="T14" s="111"/>
      <c r="U14" s="110"/>
    </row>
    <row r="15" spans="2:21" ht="17.25">
      <c r="B15" s="45"/>
      <c r="C15" s="103"/>
      <c r="D15" s="40" t="str">
        <f>"0x"&amp;(DEC2HEX((HEX2DEC(MID(D14,3,5)))+MID(F14,1,5)-1))</f>
        <v>0x71FF</v>
      </c>
      <c r="E15" s="249"/>
      <c r="F15" s="249"/>
      <c r="G15" s="316"/>
      <c r="H15" s="113" t="s">
        <v>299</v>
      </c>
      <c r="I15" s="117" t="s">
        <v>218</v>
      </c>
      <c r="J15" s="115">
        <v>4</v>
      </c>
      <c r="K15" s="114" t="s">
        <v>201</v>
      </c>
      <c r="L15" s="114" t="str">
        <f>D22</f>
        <v>0x3F000</v>
      </c>
      <c r="M15" s="114" t="str">
        <f>D23</f>
        <v>0x3FFFF</v>
      </c>
      <c r="Q15" s="118"/>
      <c r="R15" s="314" t="s">
        <v>300</v>
      </c>
      <c r="S15" s="315"/>
      <c r="T15" s="111"/>
      <c r="U15" s="110"/>
    </row>
    <row r="16" spans="2:21" ht="18" thickBot="1">
      <c r="B16" s="45"/>
      <c r="C16" s="103"/>
      <c r="D16" s="38" t="str">
        <f>"0x"&amp;DEC2HEX(HEX2DEC(MID(D15,3,5))+1)</f>
        <v>0x7200</v>
      </c>
      <c r="E16" s="249" t="s">
        <v>175</v>
      </c>
      <c r="F16" s="249">
        <f>1024*96</f>
        <v>98304</v>
      </c>
      <c r="G16" s="252" t="s">
        <v>301</v>
      </c>
      <c r="H16" s="65" t="s">
        <v>221</v>
      </c>
      <c r="I16" s="66"/>
      <c r="J16" s="67">
        <f>SUM(J8:J15)</f>
        <v>256</v>
      </c>
      <c r="K16" s="66"/>
      <c r="L16" s="119"/>
      <c r="M16" s="120"/>
      <c r="Q16" s="118"/>
      <c r="R16" s="314" t="s">
        <v>302</v>
      </c>
      <c r="S16" s="315"/>
      <c r="T16" s="111"/>
      <c r="U16" s="110"/>
    </row>
    <row r="17" spans="2:21" ht="17.25">
      <c r="B17" s="45"/>
      <c r="C17" s="103"/>
      <c r="D17" s="40" t="str">
        <f>"0x"&amp;(DEC2HEX((HEX2DEC(MID(D16,3,5)))+MID(F16,1,5)-1))</f>
        <v>0x1F1FF</v>
      </c>
      <c r="E17" s="249"/>
      <c r="F17" s="249"/>
      <c r="G17" s="252"/>
      <c r="Q17" s="118"/>
      <c r="R17" s="314" t="s">
        <v>303</v>
      </c>
      <c r="S17" s="315"/>
      <c r="T17" s="111"/>
      <c r="U17" s="110"/>
    </row>
    <row r="18" spans="2:21" ht="17.25">
      <c r="B18" s="45"/>
      <c r="C18" s="103"/>
      <c r="D18" s="38" t="str">
        <f>"0x"&amp;DEC2HEX(HEX2DEC(MID(D17,3,5))+1)</f>
        <v>0x1F200</v>
      </c>
      <c r="E18" s="249" t="s">
        <v>304</v>
      </c>
      <c r="F18" s="249">
        <f>1024*64</f>
        <v>65536</v>
      </c>
      <c r="G18" s="252" t="s">
        <v>305</v>
      </c>
      <c r="H18" s="1"/>
      <c r="I18" s="1"/>
      <c r="J18" s="121"/>
      <c r="K18" s="1"/>
      <c r="L18" s="1"/>
      <c r="M18" s="1"/>
      <c r="Q18" s="118"/>
      <c r="R18" s="300" t="s">
        <v>306</v>
      </c>
      <c r="S18" s="301"/>
      <c r="T18" s="122"/>
      <c r="U18" s="110"/>
    </row>
    <row r="19" spans="2:21" ht="17.25">
      <c r="B19" s="45"/>
      <c r="C19" s="102"/>
      <c r="D19" s="40" t="str">
        <f>"0x"&amp;(DEC2HEX((HEX2DEC(MID(D18,3,5)))+MID(F18,1,5)-1))</f>
        <v>0x2F1FF</v>
      </c>
      <c r="E19" s="249"/>
      <c r="F19" s="249"/>
      <c r="G19" s="252"/>
      <c r="H19" s="1"/>
      <c r="I19" s="1"/>
      <c r="J19" s="121"/>
      <c r="K19" s="1"/>
      <c r="L19" s="1"/>
      <c r="M19" s="1"/>
      <c r="Q19" s="118"/>
      <c r="R19" s="302"/>
      <c r="S19" s="303"/>
      <c r="T19" s="101" t="s">
        <v>307</v>
      </c>
      <c r="U19" s="123"/>
    </row>
    <row r="20" spans="2:21" ht="17.25">
      <c r="B20" s="45"/>
      <c r="C20" s="124" t="s">
        <v>308</v>
      </c>
      <c r="D20" s="38" t="str">
        <f>"0x"&amp;DEC2HEX(HEX2DEC(MID(D19,3,5))+1)</f>
        <v>0x2F200</v>
      </c>
      <c r="E20" s="249" t="s">
        <v>309</v>
      </c>
      <c r="F20" s="249">
        <f>256*1024-SUM(F8:F19,F22)</f>
        <v>65024</v>
      </c>
      <c r="G20" s="252" t="s">
        <v>310</v>
      </c>
      <c r="H20" s="48" t="s">
        <v>311</v>
      </c>
      <c r="I20" s="48" t="s">
        <v>191</v>
      </c>
      <c r="J20" s="49" t="s">
        <v>3</v>
      </c>
      <c r="K20" s="48" t="s">
        <v>192</v>
      </c>
      <c r="L20" s="50" t="s">
        <v>193</v>
      </c>
      <c r="M20" s="50" t="s">
        <v>194</v>
      </c>
      <c r="N20" s="1"/>
      <c r="Q20" s="118"/>
      <c r="R20" s="304"/>
      <c r="S20" s="305"/>
      <c r="T20" s="305"/>
      <c r="U20" s="306"/>
    </row>
    <row r="21" spans="2:21" ht="17.25">
      <c r="B21" s="45"/>
      <c r="C21" s="102"/>
      <c r="D21" s="40" t="str">
        <f>"0x"&amp;(DEC2HEX((HEX2DEC(MID(D20,3,5)))+MID(F20,1,5)-1))</f>
        <v>0x3EFFF</v>
      </c>
      <c r="E21" s="249"/>
      <c r="F21" s="249"/>
      <c r="G21" s="252"/>
      <c r="H21" s="104" t="s">
        <v>285</v>
      </c>
      <c r="I21" s="55" t="s">
        <v>200</v>
      </c>
      <c r="J21" s="56">
        <v>24</v>
      </c>
      <c r="K21" s="55" t="s">
        <v>201</v>
      </c>
      <c r="L21" s="55" t="str">
        <f>D8</f>
        <v>0x0000</v>
      </c>
      <c r="M21" s="55" t="str">
        <f>D9</f>
        <v>0x5FFF</v>
      </c>
      <c r="N21" s="1"/>
      <c r="Q21" s="125"/>
      <c r="R21" s="307" t="s">
        <v>224</v>
      </c>
      <c r="S21" s="308"/>
      <c r="T21" s="101" t="s">
        <v>312</v>
      </c>
      <c r="U21" s="311" t="s">
        <v>223</v>
      </c>
    </row>
    <row r="22" spans="2:21" ht="17.25">
      <c r="B22" s="45"/>
      <c r="C22" s="103"/>
      <c r="D22" s="38" t="s">
        <v>313</v>
      </c>
      <c r="E22" s="299" t="s">
        <v>314</v>
      </c>
      <c r="F22" s="249">
        <f>4096</f>
        <v>4096</v>
      </c>
      <c r="G22" s="252" t="s">
        <v>315</v>
      </c>
      <c r="H22" s="106" t="s">
        <v>288</v>
      </c>
      <c r="I22" s="61" t="s">
        <v>289</v>
      </c>
      <c r="J22" s="107">
        <v>4</v>
      </c>
      <c r="K22" s="61" t="s">
        <v>201</v>
      </c>
      <c r="L22" s="61" t="str">
        <f>D10</f>
        <v>0x6000</v>
      </c>
      <c r="M22" s="61" t="str">
        <f>D11</f>
        <v>0x6FFF</v>
      </c>
      <c r="N22" s="1"/>
      <c r="R22" s="309"/>
      <c r="S22" s="310"/>
      <c r="T22" s="101" t="s">
        <v>316</v>
      </c>
      <c r="U22" s="312"/>
    </row>
    <row r="23" spans="2:21" ht="17.25">
      <c r="B23" s="45"/>
      <c r="C23" s="103"/>
      <c r="D23" s="40" t="s">
        <v>317</v>
      </c>
      <c r="E23" s="249"/>
      <c r="F23" s="249"/>
      <c r="G23" s="252"/>
      <c r="H23" s="104" t="s">
        <v>244</v>
      </c>
      <c r="I23" s="58" t="s">
        <v>292</v>
      </c>
      <c r="J23" s="40">
        <v>0.25</v>
      </c>
      <c r="K23" s="58" t="s">
        <v>201</v>
      </c>
      <c r="L23" s="55" t="str">
        <f>D12</f>
        <v>0x7000</v>
      </c>
      <c r="M23" s="55" t="str">
        <f>D13</f>
        <v>0x70FF</v>
      </c>
      <c r="R23" s="1"/>
      <c r="S23" s="1"/>
      <c r="T23" s="1"/>
      <c r="U23" s="121"/>
    </row>
    <row r="24" spans="2:21" ht="17.25">
      <c r="B24" s="45"/>
      <c r="C24" s="45"/>
      <c r="D24" s="45" t="s">
        <v>318</v>
      </c>
      <c r="F24" s="47">
        <f>SUM(F8:F23)</f>
        <v>262144</v>
      </c>
      <c r="G24" s="47"/>
      <c r="H24" s="104" t="s">
        <v>172</v>
      </c>
      <c r="I24" s="58" t="s">
        <v>292</v>
      </c>
      <c r="J24" s="40">
        <v>0.25</v>
      </c>
      <c r="K24" s="58" t="s">
        <v>201</v>
      </c>
      <c r="L24" s="55" t="str">
        <f>D14</f>
        <v>0x7100</v>
      </c>
      <c r="M24" s="55" t="str">
        <f>D15</f>
        <v>0x71FF</v>
      </c>
      <c r="R24" s="1"/>
      <c r="S24" s="1"/>
      <c r="T24" s="1"/>
      <c r="U24" s="121"/>
    </row>
    <row r="25" spans="2:21" ht="17.25">
      <c r="B25" s="45"/>
      <c r="C25" s="45"/>
      <c r="D25" t="s">
        <v>319</v>
      </c>
      <c r="F25" s="44">
        <f>1024*256-F24</f>
        <v>0</v>
      </c>
      <c r="G25" s="44"/>
      <c r="H25" s="112" t="s">
        <v>213</v>
      </c>
      <c r="I25" s="55" t="s">
        <v>292</v>
      </c>
      <c r="J25" s="56">
        <v>96</v>
      </c>
      <c r="K25" s="55" t="s">
        <v>201</v>
      </c>
      <c r="L25" s="55" t="str">
        <f>D16</f>
        <v>0x7200</v>
      </c>
      <c r="M25" s="55" t="str">
        <f>D17</f>
        <v>0x1F1FF</v>
      </c>
      <c r="N25" s="44"/>
      <c r="Q25"/>
      <c r="R25" s="1"/>
      <c r="S25" s="1"/>
      <c r="T25" s="1"/>
      <c r="U25" s="121"/>
    </row>
    <row r="26" spans="2:21" ht="17.25">
      <c r="B26" s="45"/>
      <c r="C26" s="45"/>
      <c r="D26" s="45"/>
      <c r="G26" s="44"/>
      <c r="H26" s="112" t="s">
        <v>214</v>
      </c>
      <c r="I26" s="55" t="s">
        <v>292</v>
      </c>
      <c r="J26" s="56">
        <v>64</v>
      </c>
      <c r="K26" s="55" t="s">
        <v>201</v>
      </c>
      <c r="L26" s="55" t="str">
        <f>D18</f>
        <v>0x1F200</v>
      </c>
      <c r="M26" s="55" t="str">
        <f>D19</f>
        <v>0x2F1FF</v>
      </c>
      <c r="N26" s="44"/>
      <c r="Q26"/>
      <c r="R26" s="44"/>
      <c r="U26"/>
    </row>
    <row r="27" spans="2:21" ht="17.25">
      <c r="B27" s="45"/>
      <c r="C27" s="124" t="s">
        <v>320</v>
      </c>
      <c r="D27" s="38" t="str">
        <f>"0x"&amp;DEC2HEX(HEX2DEC(MID(D19,3,5))+1)</f>
        <v>0x2F200</v>
      </c>
      <c r="E27" s="249" t="s">
        <v>309</v>
      </c>
      <c r="F27" s="249">
        <f>1024*5*28</f>
        <v>143360</v>
      </c>
      <c r="G27" s="252" t="s">
        <v>321</v>
      </c>
      <c r="H27" s="113" t="s">
        <v>271</v>
      </c>
      <c r="I27" s="114" t="s">
        <v>292</v>
      </c>
      <c r="J27" s="115">
        <v>140</v>
      </c>
      <c r="K27" s="114" t="s">
        <v>201</v>
      </c>
      <c r="L27" s="114" t="str">
        <f>D20</f>
        <v>0x2F200</v>
      </c>
      <c r="M27" s="114" t="str">
        <f>D28</f>
        <v>0x521FF</v>
      </c>
      <c r="N27" s="1"/>
      <c r="Q27" s="99"/>
      <c r="R27" s="44"/>
      <c r="U27"/>
    </row>
    <row r="28" spans="2:21" ht="17.25">
      <c r="B28" s="45"/>
      <c r="C28" s="102"/>
      <c r="D28" s="40" t="str">
        <f>"0x"&amp;(DEC2HEX((HEX2DEC(MID(D27,3,5)))+MID(F27,1,6)-1))</f>
        <v>0x521FF</v>
      </c>
      <c r="E28" s="249"/>
      <c r="F28" s="249"/>
      <c r="G28" s="252"/>
      <c r="H28" s="113" t="s">
        <v>299</v>
      </c>
      <c r="I28" s="117" t="s">
        <v>218</v>
      </c>
      <c r="J28" s="115">
        <v>4</v>
      </c>
      <c r="K28" s="114" t="s">
        <v>201</v>
      </c>
      <c r="L28" s="114" t="str">
        <f>D31</f>
        <v>0x7F000</v>
      </c>
      <c r="M28" s="114" t="str">
        <f>D32</f>
        <v>0x7FFFF</v>
      </c>
      <c r="N28" s="1"/>
      <c r="Q28" s="125"/>
      <c r="R28" s="126"/>
      <c r="S28" s="126"/>
      <c r="T28" s="100"/>
      <c r="U28" s="126"/>
    </row>
    <row r="29" spans="2:21" ht="17.25">
      <c r="B29" s="45"/>
      <c r="C29" s="103"/>
      <c r="D29" s="38" t="str">
        <f>"0x"&amp;DEC2HEX(HEX2DEC(MID(D28,3,5))+1)</f>
        <v>0x52200</v>
      </c>
      <c r="E29" s="299" t="s">
        <v>322</v>
      </c>
      <c r="F29" s="249">
        <f>512*1024-SUM(F8:F19,F27)-F31</f>
        <v>183808</v>
      </c>
      <c r="G29" s="252" t="s">
        <v>323</v>
      </c>
      <c r="H29" s="127" t="s">
        <v>324</v>
      </c>
      <c r="I29" s="128" t="s">
        <v>325</v>
      </c>
      <c r="J29" s="129">
        <v>179.5</v>
      </c>
      <c r="K29" s="130" t="s">
        <v>201</v>
      </c>
      <c r="L29" s="130" t="str">
        <f>D31</f>
        <v>0x7F000</v>
      </c>
      <c r="M29" s="130" t="str">
        <f>D32</f>
        <v>0x7FFFF</v>
      </c>
      <c r="N29" s="1"/>
      <c r="R29" s="126"/>
      <c r="S29" s="126"/>
      <c r="T29" s="100"/>
      <c r="U29" s="126"/>
    </row>
    <row r="30" spans="2:21" ht="18" thickBot="1">
      <c r="B30" s="45"/>
      <c r="C30" s="103"/>
      <c r="D30" s="40" t="str">
        <f>"0x"&amp;(DEC2HEX((HEX2DEC(MID(D29,3,5)))+MID(F29,1,6)-1))</f>
        <v>0x7EFFF</v>
      </c>
      <c r="E30" s="249"/>
      <c r="F30" s="249"/>
      <c r="G30" s="252"/>
      <c r="H30" s="65" t="s">
        <v>221</v>
      </c>
      <c r="I30" s="66"/>
      <c r="J30" s="67">
        <f>SUM(J21:J29)</f>
        <v>512</v>
      </c>
      <c r="K30" s="66"/>
      <c r="L30" s="119"/>
      <c r="M30" s="120"/>
      <c r="R30" s="1"/>
      <c r="S30" s="1"/>
      <c r="T30" s="1"/>
      <c r="U30" s="121"/>
    </row>
    <row r="31" spans="2:21" ht="17.25">
      <c r="B31" s="45"/>
      <c r="C31" s="103"/>
      <c r="D31" s="38" t="str">
        <f>"0x"&amp;DEC2HEX(HEX2DEC(MID(D30,3,5))+1)</f>
        <v>0x7F000</v>
      </c>
      <c r="E31" s="299" t="s">
        <v>314</v>
      </c>
      <c r="F31" s="249">
        <f>4096</f>
        <v>4096</v>
      </c>
      <c r="G31" s="252" t="s">
        <v>291</v>
      </c>
      <c r="R31" s="1"/>
      <c r="S31" s="1"/>
      <c r="T31" s="1"/>
      <c r="U31" s="121"/>
    </row>
    <row r="32" spans="2:21" ht="17.25">
      <c r="B32" s="45"/>
      <c r="C32" s="103"/>
      <c r="D32" s="40" t="s">
        <v>326</v>
      </c>
      <c r="E32" s="249"/>
      <c r="F32" s="249"/>
      <c r="G32" s="252"/>
      <c r="N32" s="44"/>
      <c r="Q32"/>
      <c r="R32" s="1"/>
      <c r="S32" s="1"/>
      <c r="T32" s="1"/>
      <c r="U32" s="121"/>
    </row>
    <row r="33" spans="2:21" ht="17.25">
      <c r="B33" s="45"/>
      <c r="C33" s="45"/>
      <c r="D33" s="45" t="s">
        <v>318</v>
      </c>
      <c r="F33" s="47">
        <f>SUM(F8:F19,F27,F29,F31)</f>
        <v>524288</v>
      </c>
      <c r="G33" s="47"/>
      <c r="R33" s="44"/>
      <c r="U33"/>
    </row>
    <row r="34" spans="2:21">
      <c r="D34" t="s">
        <v>319</v>
      </c>
      <c r="F34" s="44">
        <f>1024*512-F33</f>
        <v>0</v>
      </c>
      <c r="G34" s="44"/>
    </row>
    <row r="35" spans="2:21" ht="17.25">
      <c r="D35" s="47"/>
      <c r="E35" s="69"/>
      <c r="F35" s="47"/>
    </row>
    <row r="36" spans="2:21" ht="17.25">
      <c r="D36" s="47"/>
      <c r="E36" s="69"/>
      <c r="F36" s="47"/>
    </row>
    <row r="37" spans="2:21" ht="17.25">
      <c r="D37" s="47"/>
      <c r="E37" s="69"/>
      <c r="F37" s="47"/>
    </row>
    <row r="38" spans="2:21" ht="17.25">
      <c r="D38" s="266" t="s">
        <v>327</v>
      </c>
      <c r="E38" s="266"/>
      <c r="F38" s="47"/>
      <c r="H38" s="1"/>
    </row>
    <row r="39" spans="2:21" ht="15.75">
      <c r="D39" s="131" t="s">
        <v>328</v>
      </c>
      <c r="E39" s="132" t="s">
        <v>228</v>
      </c>
      <c r="F39" s="132"/>
      <c r="G39" s="133" t="s">
        <v>229</v>
      </c>
      <c r="H39" s="1"/>
    </row>
    <row r="40" spans="2:21" ht="17.25">
      <c r="D40" s="134" t="s">
        <v>329</v>
      </c>
      <c r="E40" s="135">
        <v>2048</v>
      </c>
      <c r="F40" s="135" t="s">
        <v>230</v>
      </c>
      <c r="G40" s="135">
        <v>80000</v>
      </c>
      <c r="H40" s="1"/>
    </row>
    <row r="41" spans="2:21" ht="15.75">
      <c r="D41" s="136" t="str">
        <f>DEC2HEX((HEX2DEC(D40)+E40))</f>
        <v>1FA00</v>
      </c>
      <c r="E41" s="135">
        <v>512</v>
      </c>
      <c r="F41" s="135" t="s">
        <v>330</v>
      </c>
      <c r="G41" s="135" t="str">
        <f>DEC2HEX(HEX2DEC(G40)+E40)</f>
        <v>80800</v>
      </c>
      <c r="H41" s="1"/>
    </row>
    <row r="42" spans="2:21" ht="15.75">
      <c r="D42" s="136" t="str">
        <f t="shared" ref="D42:D55" si="0">DEC2HEX((HEX2DEC(D41)+E41))</f>
        <v>1FC00</v>
      </c>
      <c r="E42" s="135">
        <v>6736</v>
      </c>
      <c r="F42" s="135" t="s">
        <v>234</v>
      </c>
      <c r="G42" s="135" t="str">
        <f t="shared" ref="G42:G55" si="1">DEC2HEX(HEX2DEC(G41)+E41)</f>
        <v>80A00</v>
      </c>
      <c r="H42" s="1"/>
    </row>
    <row r="43" spans="2:21" ht="15.75">
      <c r="D43" s="136" t="str">
        <f t="shared" si="0"/>
        <v>21650</v>
      </c>
      <c r="E43" s="135">
        <v>11264</v>
      </c>
      <c r="F43" s="135" t="s">
        <v>235</v>
      </c>
      <c r="G43" s="135" t="str">
        <f t="shared" si="1"/>
        <v>82450</v>
      </c>
      <c r="H43" s="1"/>
    </row>
    <row r="44" spans="2:21" ht="15.75">
      <c r="D44" s="136" t="str">
        <f t="shared" si="0"/>
        <v>24250</v>
      </c>
      <c r="E44" s="135">
        <v>13312</v>
      </c>
      <c r="F44" s="135" t="s">
        <v>276</v>
      </c>
      <c r="G44" s="135" t="str">
        <f t="shared" si="1"/>
        <v>85050</v>
      </c>
      <c r="H44" s="1"/>
    </row>
    <row r="45" spans="2:21" ht="15.75">
      <c r="D45" s="136" t="str">
        <f t="shared" si="0"/>
        <v>27650</v>
      </c>
      <c r="E45" s="135">
        <v>280</v>
      </c>
      <c r="F45" s="135" t="s">
        <v>236</v>
      </c>
      <c r="G45" s="135" t="str">
        <f t="shared" si="1"/>
        <v>88450</v>
      </c>
      <c r="H45" s="1"/>
    </row>
    <row r="46" spans="2:21" ht="15.75">
      <c r="D46" s="136" t="str">
        <f t="shared" si="0"/>
        <v>27768</v>
      </c>
      <c r="E46" s="135">
        <v>512</v>
      </c>
      <c r="F46" s="135" t="s">
        <v>237</v>
      </c>
      <c r="G46" s="135" t="str">
        <f t="shared" si="1"/>
        <v>88568</v>
      </c>
      <c r="H46" s="1"/>
    </row>
    <row r="47" spans="2:21" ht="15.75">
      <c r="D47" s="136" t="str">
        <f t="shared" si="0"/>
        <v>27968</v>
      </c>
      <c r="E47" s="135">
        <v>4096</v>
      </c>
      <c r="F47" s="135" t="s">
        <v>238</v>
      </c>
      <c r="G47" s="135" t="str">
        <f t="shared" si="1"/>
        <v>88768</v>
      </c>
      <c r="H47" s="1"/>
    </row>
    <row r="48" spans="2:21" ht="15.75">
      <c r="D48" s="136" t="str">
        <f t="shared" si="0"/>
        <v>28968</v>
      </c>
      <c r="E48" s="135">
        <v>900</v>
      </c>
      <c r="F48" s="135" t="s">
        <v>239</v>
      </c>
      <c r="G48" s="135" t="str">
        <f t="shared" si="1"/>
        <v>89768</v>
      </c>
      <c r="H48" s="1"/>
    </row>
    <row r="49" spans="4:8" ht="15.75">
      <c r="D49" s="136" t="str">
        <f t="shared" si="0"/>
        <v>28CEC</v>
      </c>
      <c r="E49" s="135">
        <v>452</v>
      </c>
      <c r="F49" s="135" t="s">
        <v>240</v>
      </c>
      <c r="G49" s="135" t="str">
        <f t="shared" si="1"/>
        <v>89AEC</v>
      </c>
      <c r="H49" s="1"/>
    </row>
    <row r="50" spans="4:8" ht="15.75">
      <c r="D50" s="136" t="str">
        <f t="shared" si="0"/>
        <v>28EB0</v>
      </c>
      <c r="E50" s="135">
        <v>256</v>
      </c>
      <c r="F50" s="135" t="s">
        <v>331</v>
      </c>
      <c r="G50" s="135" t="str">
        <f t="shared" si="1"/>
        <v>89CB0</v>
      </c>
      <c r="H50" s="1"/>
    </row>
    <row r="51" spans="4:8" ht="15.75">
      <c r="D51" s="136" t="str">
        <f t="shared" si="0"/>
        <v>28FB0</v>
      </c>
      <c r="E51" s="135">
        <v>256</v>
      </c>
      <c r="F51" s="135" t="s">
        <v>249</v>
      </c>
      <c r="G51" s="135" t="str">
        <f t="shared" si="1"/>
        <v>89DB0</v>
      </c>
      <c r="H51" s="1"/>
    </row>
    <row r="52" spans="4:8" ht="15.75">
      <c r="D52" s="136" t="str">
        <f t="shared" si="0"/>
        <v>290B0</v>
      </c>
      <c r="E52" s="135">
        <v>144</v>
      </c>
      <c r="F52" s="135" t="s">
        <v>332</v>
      </c>
      <c r="G52" s="135" t="str">
        <f t="shared" si="1"/>
        <v>89EB0</v>
      </c>
    </row>
    <row r="53" spans="4:8" ht="15.75">
      <c r="D53" s="136" t="str">
        <f t="shared" si="0"/>
        <v>29140</v>
      </c>
      <c r="E53" s="135">
        <v>144</v>
      </c>
      <c r="F53" s="135" t="s">
        <v>333</v>
      </c>
      <c r="G53" s="135" t="str">
        <f t="shared" si="1"/>
        <v>89F40</v>
      </c>
    </row>
    <row r="54" spans="4:8" ht="15.75">
      <c r="D54" s="136" t="str">
        <f t="shared" si="0"/>
        <v>291D0</v>
      </c>
      <c r="E54" s="135">
        <v>24624</v>
      </c>
      <c r="F54" s="135" t="s">
        <v>300</v>
      </c>
      <c r="G54" s="135" t="str">
        <f t="shared" si="1"/>
        <v>89FD0</v>
      </c>
    </row>
    <row r="55" spans="4:8" ht="15.75">
      <c r="D55" s="136" t="str">
        <f t="shared" si="0"/>
        <v>2F200</v>
      </c>
      <c r="E55" s="135"/>
      <c r="F55" s="137" t="s">
        <v>334</v>
      </c>
      <c r="G55" s="135" t="str">
        <f t="shared" si="1"/>
        <v>90000</v>
      </c>
    </row>
  </sheetData>
  <mergeCells count="51">
    <mergeCell ref="Q5:Q7"/>
    <mergeCell ref="R5:S7"/>
    <mergeCell ref="U5:U7"/>
    <mergeCell ref="E8:E9"/>
    <mergeCell ref="F8:F9"/>
    <mergeCell ref="G8:G9"/>
    <mergeCell ref="Q8:Q14"/>
    <mergeCell ref="R8:S8"/>
    <mergeCell ref="R9:S9"/>
    <mergeCell ref="E10:E11"/>
    <mergeCell ref="F10:F11"/>
    <mergeCell ref="G10:G11"/>
    <mergeCell ref="R11:S11"/>
    <mergeCell ref="E12:E13"/>
    <mergeCell ref="F12:F13"/>
    <mergeCell ref="G12:G13"/>
    <mergeCell ref="R12:S12"/>
    <mergeCell ref="R13:S13"/>
    <mergeCell ref="E16:E17"/>
    <mergeCell ref="F16:F17"/>
    <mergeCell ref="G16:G17"/>
    <mergeCell ref="R16:S16"/>
    <mergeCell ref="R17:S17"/>
    <mergeCell ref="E14:E15"/>
    <mergeCell ref="F14:F15"/>
    <mergeCell ref="G14:G15"/>
    <mergeCell ref="R14:S14"/>
    <mergeCell ref="R15:S15"/>
    <mergeCell ref="E18:E19"/>
    <mergeCell ref="F18:F19"/>
    <mergeCell ref="G18:G19"/>
    <mergeCell ref="R18:S19"/>
    <mergeCell ref="E20:E21"/>
    <mergeCell ref="F20:F21"/>
    <mergeCell ref="G20:G21"/>
    <mergeCell ref="R20:U20"/>
    <mergeCell ref="R21:S22"/>
    <mergeCell ref="U21:U22"/>
    <mergeCell ref="E22:E23"/>
    <mergeCell ref="F22:F23"/>
    <mergeCell ref="G22:G23"/>
    <mergeCell ref="E27:E28"/>
    <mergeCell ref="F27:F28"/>
    <mergeCell ref="G27:G28"/>
    <mergeCell ref="D38:E38"/>
    <mergeCell ref="E29:E30"/>
    <mergeCell ref="F29:F30"/>
    <mergeCell ref="G29:G30"/>
    <mergeCell ref="E31:E32"/>
    <mergeCell ref="F31:F32"/>
    <mergeCell ref="G31:G32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F4C-9553-426B-BF8D-005111A661E4}">
  <dimension ref="B7:U53"/>
  <sheetViews>
    <sheetView topLeftCell="A4" zoomScale="85" zoomScaleNormal="85" workbookViewId="0">
      <selection activeCell="G30" sqref="G30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87" t="s">
        <v>166</v>
      </c>
      <c r="F8" s="287">
        <f>HEX2DEC(MID(D9,3,5))-HEX2DEC(MID(D8,3,5))+1</f>
        <v>40960</v>
      </c>
      <c r="G8" s="252"/>
      <c r="H8" s="275" t="s">
        <v>199</v>
      </c>
      <c r="I8" s="257" t="s">
        <v>200</v>
      </c>
      <c r="J8" s="257">
        <f>F8/1024</f>
        <v>40</v>
      </c>
      <c r="K8" s="248" t="s">
        <v>201</v>
      </c>
      <c r="L8" s="257" t="str">
        <f>D8</f>
        <v>0x00000</v>
      </c>
      <c r="M8" s="257" t="str">
        <f>D9</f>
        <v>0x09FFF</v>
      </c>
      <c r="Q8" s="292" t="s">
        <v>202</v>
      </c>
      <c r="R8" s="293" t="s">
        <v>203</v>
      </c>
      <c r="S8" s="296">
        <f>96*1024</f>
        <v>98304</v>
      </c>
      <c r="T8" s="57" t="s">
        <v>204</v>
      </c>
      <c r="U8" s="284" t="s">
        <v>205</v>
      </c>
    </row>
    <row r="9" spans="2:21" ht="17.25">
      <c r="B9" s="45"/>
      <c r="C9" s="53"/>
      <c r="D9" s="38" t="s">
        <v>167</v>
      </c>
      <c r="E9" s="288"/>
      <c r="F9" s="288"/>
      <c r="G9" s="252"/>
      <c r="H9" s="275"/>
      <c r="I9" s="258"/>
      <c r="J9" s="258"/>
      <c r="K9" s="248"/>
      <c r="L9" s="258"/>
      <c r="M9" s="258"/>
      <c r="Q9" s="292"/>
      <c r="R9" s="294"/>
      <c r="S9" s="297"/>
      <c r="T9" s="57"/>
      <c r="U9" s="285"/>
    </row>
    <row r="10" spans="2:21" ht="17.25">
      <c r="B10" s="45"/>
      <c r="C10" s="53"/>
      <c r="D10" s="38" t="s">
        <v>168</v>
      </c>
      <c r="E10" s="249" t="s">
        <v>169</v>
      </c>
      <c r="F10" s="249">
        <f>HEX2DEC(MID(D11,3,5))-HEX2DEC(MID(D10,3,5))+1</f>
        <v>256</v>
      </c>
      <c r="G10" s="252"/>
      <c r="H10" s="58" t="s">
        <v>206</v>
      </c>
      <c r="I10" s="56" t="s">
        <v>207</v>
      </c>
      <c r="J10" s="56">
        <f>F10/1024</f>
        <v>0.25</v>
      </c>
      <c r="K10" s="56" t="s">
        <v>201</v>
      </c>
      <c r="L10" s="56" t="str">
        <f>D10</f>
        <v>0x0A000</v>
      </c>
      <c r="M10" s="56" t="str">
        <f>D11</f>
        <v>0x0A0FF</v>
      </c>
      <c r="Q10" s="292"/>
      <c r="R10" s="295"/>
      <c r="S10" s="298"/>
      <c r="T10" s="57" t="s">
        <v>208</v>
      </c>
      <c r="U10" s="285"/>
    </row>
    <row r="11" spans="2:21" ht="16.350000000000001" customHeight="1">
      <c r="B11" s="45"/>
      <c r="C11" s="53"/>
      <c r="D11" s="38" t="s">
        <v>170</v>
      </c>
      <c r="E11" s="249"/>
      <c r="F11" s="249"/>
      <c r="G11" s="252"/>
      <c r="H11" s="58" t="s">
        <v>209</v>
      </c>
      <c r="I11" s="56" t="s">
        <v>210</v>
      </c>
      <c r="J11" s="56">
        <f>F12/1024</f>
        <v>0.25</v>
      </c>
      <c r="K11" s="56" t="s">
        <v>201</v>
      </c>
      <c r="L11" s="56" t="str">
        <f>D12</f>
        <v>0x0A100</v>
      </c>
      <c r="M11" s="56" t="str">
        <f>D13</f>
        <v>0x0A1FF</v>
      </c>
      <c r="Q11" s="270" t="s">
        <v>211</v>
      </c>
      <c r="R11" s="59" t="str">
        <f t="shared" ref="R11:R23" si="0">F35</f>
        <v>FW_Config</v>
      </c>
      <c r="S11" s="60">
        <f t="shared" ref="S11:S23" si="1">E35</f>
        <v>1920</v>
      </c>
      <c r="T11" s="57" t="str">
        <f>G35</f>
        <v>0x80000</v>
      </c>
      <c r="U11" s="271" t="s">
        <v>212</v>
      </c>
    </row>
    <row r="12" spans="2:21" ht="16.350000000000001" customHeight="1">
      <c r="B12" s="45"/>
      <c r="C12" s="53"/>
      <c r="D12" s="38" t="s">
        <v>171</v>
      </c>
      <c r="E12" s="287" t="s">
        <v>172</v>
      </c>
      <c r="F12" s="249">
        <f>HEX2DEC(MID(D13,3,5))-HEX2DEC(MID(D12,3,5))+1</f>
        <v>256</v>
      </c>
      <c r="G12" s="54"/>
      <c r="H12" s="283" t="s">
        <v>213</v>
      </c>
      <c r="I12" s="278" t="s">
        <v>207</v>
      </c>
      <c r="J12" s="278">
        <f>F14/1024</f>
        <v>96</v>
      </c>
      <c r="K12" s="278" t="s">
        <v>201</v>
      </c>
      <c r="L12" s="278" t="str">
        <f>D14</f>
        <v>0x0A200</v>
      </c>
      <c r="M12" s="278" t="str">
        <f>D15</f>
        <v>0x221FF</v>
      </c>
      <c r="Q12" s="332"/>
      <c r="R12" s="59" t="str">
        <f t="shared" si="0"/>
        <v>EMI Tuning Reserved</v>
      </c>
      <c r="S12" s="60">
        <f t="shared" si="1"/>
        <v>128</v>
      </c>
      <c r="T12" s="57" t="str">
        <f>G36</f>
        <v>0x80780</v>
      </c>
      <c r="U12" s="333"/>
    </row>
    <row r="13" spans="2:21" ht="17.25">
      <c r="B13" s="45"/>
      <c r="C13" s="53"/>
      <c r="D13" s="38" t="s">
        <v>173</v>
      </c>
      <c r="E13" s="331"/>
      <c r="F13" s="249"/>
      <c r="G13" s="54"/>
      <c r="H13" s="283"/>
      <c r="I13" s="279"/>
      <c r="J13" s="279"/>
      <c r="K13" s="279"/>
      <c r="L13" s="279"/>
      <c r="M13" s="279"/>
      <c r="Q13" s="332"/>
      <c r="R13" s="59" t="str">
        <f t="shared" si="0"/>
        <v>EventBuf</v>
      </c>
      <c r="S13" s="60">
        <f t="shared" si="1"/>
        <v>512</v>
      </c>
      <c r="T13" s="57" t="str">
        <f t="shared" ref="T13:T24" si="2">G37</f>
        <v>0x80800</v>
      </c>
      <c r="U13" s="333"/>
    </row>
    <row r="14" spans="2:21" ht="17.25">
      <c r="B14" s="45"/>
      <c r="C14" s="53"/>
      <c r="D14" s="41" t="s">
        <v>174</v>
      </c>
      <c r="E14" s="282" t="s">
        <v>175</v>
      </c>
      <c r="F14" s="282">
        <f>HEX2DEC(MID(D15,3,5))-HEX2DEC(MID(D14,3,5))+1</f>
        <v>98304</v>
      </c>
      <c r="G14" s="252">
        <f>F14/1024</f>
        <v>96</v>
      </c>
      <c r="H14" s="281" t="s">
        <v>214</v>
      </c>
      <c r="I14" s="261" t="s">
        <v>215</v>
      </c>
      <c r="J14" s="261">
        <f>F16/1024</f>
        <v>68</v>
      </c>
      <c r="K14" s="261" t="s">
        <v>201</v>
      </c>
      <c r="L14" s="261" t="str">
        <f>D16</f>
        <v>0x22200</v>
      </c>
      <c r="M14" s="261" t="str">
        <f>D17</f>
        <v>0x331FF</v>
      </c>
      <c r="Q14" s="332"/>
      <c r="R14" s="59" t="str">
        <f t="shared" si="0"/>
        <v>NF</v>
      </c>
      <c r="S14" s="60">
        <f t="shared" si="1"/>
        <v>10768</v>
      </c>
      <c r="T14" s="57" t="str">
        <f t="shared" si="2"/>
        <v>0x80A00</v>
      </c>
      <c r="U14" s="333"/>
    </row>
    <row r="15" spans="2:21" ht="17.25">
      <c r="B15" s="45"/>
      <c r="C15" s="53"/>
      <c r="D15" s="41" t="s">
        <v>176</v>
      </c>
      <c r="E15" s="282"/>
      <c r="F15" s="282"/>
      <c r="G15" s="252"/>
      <c r="H15" s="281"/>
      <c r="I15" s="262"/>
      <c r="J15" s="262"/>
      <c r="K15" s="262"/>
      <c r="L15" s="262"/>
      <c r="M15" s="262"/>
      <c r="Q15" s="332"/>
      <c r="R15" s="59" t="str">
        <f t="shared" si="0"/>
        <v>CtrlRAM</v>
      </c>
      <c r="S15" s="60">
        <f t="shared" si="1"/>
        <v>23552</v>
      </c>
      <c r="T15" s="57" t="str">
        <f t="shared" si="2"/>
        <v>0x83410</v>
      </c>
      <c r="U15" s="333"/>
    </row>
    <row r="16" spans="2:21" ht="17.25">
      <c r="B16" s="45"/>
      <c r="C16" s="53"/>
      <c r="D16" s="42" t="s">
        <v>177</v>
      </c>
      <c r="E16" s="280" t="s">
        <v>178</v>
      </c>
      <c r="F16" s="280">
        <f>HEX2DEC(MID(D17,3,5))-HEX2DEC(MID(D16,3,5))+1</f>
        <v>69632</v>
      </c>
      <c r="G16" s="252"/>
      <c r="H16" s="275" t="s">
        <v>216</v>
      </c>
      <c r="I16" s="276" t="s">
        <v>207</v>
      </c>
      <c r="J16" s="276">
        <f>F18/1024</f>
        <v>11.5</v>
      </c>
      <c r="K16" s="257" t="s">
        <v>201</v>
      </c>
      <c r="L16" s="257" t="str">
        <f>D18</f>
        <v>0x33200</v>
      </c>
      <c r="M16" s="257" t="str">
        <f>D19</f>
        <v>0x35FFF</v>
      </c>
      <c r="Q16" s="332"/>
      <c r="R16" s="59" t="str">
        <f t="shared" si="0"/>
        <v>Vnoise Ctrlram</v>
      </c>
      <c r="S16" s="60">
        <f t="shared" si="1"/>
        <v>280</v>
      </c>
      <c r="T16" s="57" t="str">
        <f t="shared" si="2"/>
        <v>0x89010</v>
      </c>
      <c r="U16" s="333"/>
    </row>
    <row r="17" spans="2:21" ht="17.25">
      <c r="B17" s="45"/>
      <c r="C17" s="53"/>
      <c r="D17" s="42" t="s">
        <v>179</v>
      </c>
      <c r="E17" s="280"/>
      <c r="F17" s="280"/>
      <c r="G17" s="252"/>
      <c r="H17" s="275"/>
      <c r="I17" s="277"/>
      <c r="J17" s="277"/>
      <c r="K17" s="258"/>
      <c r="L17" s="258"/>
      <c r="M17" s="258"/>
      <c r="Q17" s="332"/>
      <c r="R17" s="59" t="str">
        <f t="shared" si="0"/>
        <v>PU Table</v>
      </c>
      <c r="S17" s="60">
        <f t="shared" si="1"/>
        <v>512</v>
      </c>
      <c r="T17" s="57" t="str">
        <f t="shared" si="2"/>
        <v>0x89128</v>
      </c>
      <c r="U17" s="333"/>
    </row>
    <row r="18" spans="2:21" ht="17.25">
      <c r="B18" s="45"/>
      <c r="C18" s="53"/>
      <c r="D18" s="38" t="str">
        <f>"0x"&amp;DEC2HEX(HEX2DEC(MID(D17,3,5))+1)</f>
        <v>0x33200</v>
      </c>
      <c r="E18" s="287" t="s">
        <v>180</v>
      </c>
      <c r="F18" s="249">
        <f>HEX2DEC(MID(D19,3,5))-HEX2DEC(MID(D18,3,5))+1</f>
        <v>11776</v>
      </c>
      <c r="G18" s="316"/>
      <c r="H18" s="272" t="s">
        <v>217</v>
      </c>
      <c r="I18" s="257" t="s">
        <v>218</v>
      </c>
      <c r="J18" s="257">
        <f>(F20+F22)/1024</f>
        <v>4</v>
      </c>
      <c r="K18" s="257" t="s">
        <v>201</v>
      </c>
      <c r="L18" s="257" t="str">
        <f>D20</f>
        <v>0x36000</v>
      </c>
      <c r="M18" s="257" t="str">
        <f>D23</f>
        <v>0x36FFF</v>
      </c>
      <c r="Q18" s="332"/>
      <c r="R18" s="59" t="str">
        <f t="shared" si="0"/>
        <v>VNTable</v>
      </c>
      <c r="S18" s="60">
        <f t="shared" si="1"/>
        <v>5492</v>
      </c>
      <c r="T18" s="57" t="str">
        <f t="shared" si="2"/>
        <v>0x89328</v>
      </c>
      <c r="U18" s="333"/>
    </row>
    <row r="19" spans="2:21" ht="17.25">
      <c r="B19" s="45"/>
      <c r="C19" s="46"/>
      <c r="D19" s="38" t="s">
        <v>181</v>
      </c>
      <c r="E19" s="288"/>
      <c r="F19" s="249"/>
      <c r="G19" s="316"/>
      <c r="H19" s="273"/>
      <c r="I19" s="263"/>
      <c r="J19" s="263"/>
      <c r="K19" s="263"/>
      <c r="L19" s="263"/>
      <c r="M19" s="263"/>
      <c r="Q19" s="332"/>
      <c r="R19" s="59" t="str">
        <f t="shared" si="0"/>
        <v>stair Table</v>
      </c>
      <c r="S19" s="60">
        <f t="shared" si="1"/>
        <v>1208</v>
      </c>
      <c r="T19" s="57" t="str">
        <f t="shared" si="2"/>
        <v>0x8A89C</v>
      </c>
      <c r="U19" s="333"/>
    </row>
    <row r="20" spans="2:21" ht="17.25">
      <c r="B20" s="45"/>
      <c r="C20" s="53"/>
      <c r="D20" s="38" t="s">
        <v>182</v>
      </c>
      <c r="E20" s="249" t="s">
        <v>183</v>
      </c>
      <c r="F20" s="249">
        <f>HEX2DEC(MID(D21,3,5))-HEX2DEC(MID(D20,3,5))+1</f>
        <v>4092</v>
      </c>
      <c r="G20" s="252"/>
      <c r="H20" s="273"/>
      <c r="I20" s="263"/>
      <c r="J20" s="263"/>
      <c r="K20" s="263"/>
      <c r="L20" s="263"/>
      <c r="M20" s="263"/>
      <c r="N20" s="1"/>
      <c r="Q20" s="332"/>
      <c r="R20" s="59" t="str">
        <f t="shared" si="0"/>
        <v>1D Col Ganing Table</v>
      </c>
      <c r="S20" s="60">
        <f t="shared" si="1"/>
        <v>608</v>
      </c>
      <c r="T20" s="57" t="str">
        <f t="shared" si="2"/>
        <v>0x8AD54</v>
      </c>
      <c r="U20" s="333"/>
    </row>
    <row r="21" spans="2:21" ht="16.350000000000001" customHeight="1">
      <c r="B21" s="45"/>
      <c r="C21" s="46"/>
      <c r="D21" s="38" t="s">
        <v>184</v>
      </c>
      <c r="E21" s="249"/>
      <c r="F21" s="249"/>
      <c r="G21" s="252"/>
      <c r="H21" s="274"/>
      <c r="I21" s="258"/>
      <c r="J21" s="258"/>
      <c r="K21" s="258"/>
      <c r="L21" s="258"/>
      <c r="M21" s="258"/>
      <c r="N21" s="1"/>
      <c r="Q21" s="332"/>
      <c r="R21" s="59" t="str">
        <f t="shared" si="0"/>
        <v>VN Mask Table</v>
      </c>
      <c r="S21" s="60">
        <f t="shared" si="1"/>
        <v>344</v>
      </c>
      <c r="T21" s="57" t="str">
        <f t="shared" si="2"/>
        <v>0x8AFB4</v>
      </c>
      <c r="U21" s="333"/>
    </row>
    <row r="22" spans="2:21" ht="17.25">
      <c r="B22" s="45"/>
      <c r="C22" s="53"/>
      <c r="D22" s="38" t="str">
        <f>"0x"&amp;DEC2HEX(HEX2DEC(MID(D21,3,5))+1)</f>
        <v>0x36FFC</v>
      </c>
      <c r="E22" s="249" t="s">
        <v>185</v>
      </c>
      <c r="F22" s="249">
        <f>HEX2DEC(MID(D23,3,5))-HEX2DEC(MID(D22,3,5))+1</f>
        <v>4</v>
      </c>
      <c r="G22" s="252"/>
      <c r="H22" s="289" t="s">
        <v>219</v>
      </c>
      <c r="I22" s="290" t="s">
        <v>220</v>
      </c>
      <c r="J22" s="290">
        <f>F24/1024</f>
        <v>4</v>
      </c>
      <c r="K22" s="290" t="s">
        <v>201</v>
      </c>
      <c r="L22" s="290" t="str">
        <f>D24</f>
        <v>0x37000</v>
      </c>
      <c r="M22" s="290" t="str">
        <f>D25</f>
        <v>0x37FFF</v>
      </c>
      <c r="N22" s="1"/>
      <c r="Q22" s="332"/>
      <c r="R22" s="59" t="str">
        <f t="shared" si="0"/>
        <v>Header Copy</v>
      </c>
      <c r="S22" s="60">
        <f t="shared" si="1"/>
        <v>512</v>
      </c>
      <c r="T22" s="57" t="str">
        <f t="shared" si="2"/>
        <v>0x8B10C</v>
      </c>
      <c r="U22" s="333"/>
    </row>
    <row r="23" spans="2:21" ht="17.25">
      <c r="B23" s="45"/>
      <c r="C23" s="45"/>
      <c r="D23" s="38" t="s">
        <v>186</v>
      </c>
      <c r="E23" s="249"/>
      <c r="F23" s="249"/>
      <c r="G23" s="252"/>
      <c r="H23" s="289"/>
      <c r="I23" s="291"/>
      <c r="J23" s="291"/>
      <c r="K23" s="291"/>
      <c r="L23" s="291"/>
      <c r="M23" s="291"/>
      <c r="Q23" s="332"/>
      <c r="R23" s="64" t="str">
        <f t="shared" si="0"/>
        <v>.data + .bss + .stack</v>
      </c>
      <c r="S23" s="60">
        <f t="shared" si="1"/>
        <v>23796</v>
      </c>
      <c r="T23" s="57" t="str">
        <f t="shared" si="2"/>
        <v>0x8B30C</v>
      </c>
      <c r="U23" s="333"/>
    </row>
    <row r="24" spans="2:21" ht="18" thickBot="1">
      <c r="B24" s="45"/>
      <c r="C24" s="45"/>
      <c r="D24" s="38" t="s">
        <v>187</v>
      </c>
      <c r="E24" s="286" t="s">
        <v>188</v>
      </c>
      <c r="F24" s="249">
        <f>HEX2DEC(MID(D25,3,5))-HEX2DEC(MID(D24,3,5))+1</f>
        <v>4096</v>
      </c>
      <c r="G24" s="252"/>
      <c r="H24" s="65" t="s">
        <v>221</v>
      </c>
      <c r="I24" s="66"/>
      <c r="J24" s="67">
        <f>SUM(J8:J23)</f>
        <v>224</v>
      </c>
      <c r="K24" s="66"/>
      <c r="L24" s="66"/>
      <c r="M24" s="66"/>
      <c r="Q24" s="332"/>
      <c r="R24" s="68"/>
      <c r="S24" s="68"/>
      <c r="T24" s="57" t="str">
        <f t="shared" si="2"/>
        <v>0x91000</v>
      </c>
      <c r="U24" s="333"/>
    </row>
    <row r="25" spans="2:21" ht="17.25">
      <c r="B25" s="45"/>
      <c r="C25" s="45"/>
      <c r="D25" s="38" t="s">
        <v>189</v>
      </c>
      <c r="E25" s="286"/>
      <c r="F25" s="249"/>
      <c r="G25" s="252"/>
      <c r="H25" s="1"/>
      <c r="Q25" s="332"/>
      <c r="R25" s="68" t="s">
        <v>222</v>
      </c>
      <c r="S25" s="68"/>
      <c r="T25" s="57" t="s">
        <v>800</v>
      </c>
      <c r="U25" s="333"/>
    </row>
    <row r="26" spans="2:21" ht="17.25">
      <c r="B26" s="45"/>
      <c r="C26" s="45"/>
      <c r="D26" s="47"/>
      <c r="E26" s="69"/>
      <c r="F26" s="47">
        <f>SUM(F8:F25)</f>
        <v>229376</v>
      </c>
      <c r="G26" s="47">
        <f>F26/1024</f>
        <v>224</v>
      </c>
      <c r="H26" s="1"/>
      <c r="Q26" s="267" t="s">
        <v>223</v>
      </c>
      <c r="R26" s="268" t="s">
        <v>224</v>
      </c>
      <c r="S26" s="264">
        <v>4096</v>
      </c>
      <c r="T26" s="57" t="s">
        <v>225</v>
      </c>
      <c r="U26" s="264" t="s">
        <v>223</v>
      </c>
    </row>
    <row r="27" spans="2:21" ht="17.25">
      <c r="B27" s="45"/>
      <c r="C27" s="45"/>
      <c r="D27" s="47"/>
      <c r="E27" s="69"/>
      <c r="F27" s="47"/>
      <c r="G27" s="47"/>
      <c r="H27" s="1"/>
      <c r="Q27" s="332"/>
      <c r="R27" s="269"/>
      <c r="S27" s="265"/>
      <c r="T27" s="57" t="s">
        <v>226</v>
      </c>
      <c r="U27" s="331"/>
    </row>
    <row r="28" spans="2:21" ht="17.25">
      <c r="B28" s="45"/>
      <c r="C28" s="45"/>
      <c r="D28" s="47"/>
      <c r="E28" s="69"/>
      <c r="F28" s="47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7.25">
      <c r="B31" s="45"/>
      <c r="C31" s="45"/>
      <c r="D31" s="47"/>
      <c r="E31" s="69"/>
      <c r="F31" s="47"/>
    </row>
    <row r="32" spans="2:21" ht="17.25">
      <c r="B32" s="45"/>
      <c r="C32" s="45"/>
      <c r="D32" s="47"/>
      <c r="E32" s="69"/>
      <c r="F32" s="47"/>
    </row>
    <row r="33" spans="2:8" ht="18" thickBot="1">
      <c r="B33" s="45"/>
      <c r="C33" s="45"/>
      <c r="D33" s="266"/>
      <c r="E33" s="266"/>
      <c r="F33" s="47"/>
    </row>
    <row r="34" spans="2:8" ht="18" thickBot="1">
      <c r="B34" s="45"/>
      <c r="C34" s="45"/>
      <c r="D34" s="70" t="s">
        <v>227</v>
      </c>
      <c r="E34" s="71" t="s">
        <v>228</v>
      </c>
      <c r="F34" s="71"/>
      <c r="G34" s="72" t="s">
        <v>229</v>
      </c>
    </row>
    <row r="35" spans="2:8" ht="15.75">
      <c r="D35" s="73" t="s">
        <v>177</v>
      </c>
      <c r="E35" s="74">
        <v>1920</v>
      </c>
      <c r="F35" s="74" t="s">
        <v>230</v>
      </c>
      <c r="G35" s="75" t="s">
        <v>231</v>
      </c>
    </row>
    <row r="36" spans="2:8" ht="15.75">
      <c r="D36" s="73" t="str">
        <f>"0x"&amp;DEC2HEX((HEX2DEC((MID(D35,3,5)))+E35))</f>
        <v>0x22980</v>
      </c>
      <c r="E36" s="74">
        <v>128</v>
      </c>
      <c r="F36" s="74" t="s">
        <v>232</v>
      </c>
      <c r="G36" s="75" t="str">
        <f>"0x"&amp;DEC2HEX((HEX2DEC((MID(G35,3,5)))+E35))</f>
        <v>0x80780</v>
      </c>
    </row>
    <row r="37" spans="2:8" ht="15.75">
      <c r="D37" s="73" t="str">
        <f t="shared" ref="D37:D48" si="3">"0x"&amp;DEC2HEX((HEX2DEC((MID(D36,3,5)))+E36))</f>
        <v>0x22A00</v>
      </c>
      <c r="E37" s="76">
        <v>512</v>
      </c>
      <c r="F37" s="76" t="s">
        <v>233</v>
      </c>
      <c r="G37" s="75" t="str">
        <f t="shared" ref="G37:G48" si="4">"0x"&amp;DEC2HEX((HEX2DEC((MID(G36,3,5)))+E36))</f>
        <v>0x80800</v>
      </c>
    </row>
    <row r="38" spans="2:8" ht="15.75">
      <c r="D38" s="73" t="str">
        <f t="shared" si="3"/>
        <v>0x22C00</v>
      </c>
      <c r="E38" s="76">
        <v>10768</v>
      </c>
      <c r="F38" s="76" t="s">
        <v>234</v>
      </c>
      <c r="G38" s="75" t="str">
        <f t="shared" si="4"/>
        <v>0x80A00</v>
      </c>
    </row>
    <row r="39" spans="2:8" ht="15.75">
      <c r="D39" s="73" t="str">
        <f t="shared" si="3"/>
        <v>0x25610</v>
      </c>
      <c r="E39" s="76">
        <v>23552</v>
      </c>
      <c r="F39" s="76" t="s">
        <v>235</v>
      </c>
      <c r="G39" s="75" t="str">
        <f t="shared" si="4"/>
        <v>0x83410</v>
      </c>
      <c r="H39" s="1"/>
    </row>
    <row r="40" spans="2:8" ht="15.75">
      <c r="D40" s="73" t="str">
        <f t="shared" si="3"/>
        <v>0x2B210</v>
      </c>
      <c r="E40" s="76">
        <v>280</v>
      </c>
      <c r="F40" s="76" t="s">
        <v>236</v>
      </c>
      <c r="G40" s="75" t="str">
        <f t="shared" si="4"/>
        <v>0x89010</v>
      </c>
      <c r="H40" s="1"/>
    </row>
    <row r="41" spans="2:8" ht="15.75">
      <c r="D41" s="73" t="str">
        <f t="shared" si="3"/>
        <v>0x2B328</v>
      </c>
      <c r="E41" s="76">
        <v>512</v>
      </c>
      <c r="F41" s="76" t="s">
        <v>237</v>
      </c>
      <c r="G41" s="75" t="str">
        <f t="shared" si="4"/>
        <v>0x89128</v>
      </c>
      <c r="H41" s="1"/>
    </row>
    <row r="42" spans="2:8" ht="15.75">
      <c r="D42" s="73" t="str">
        <f t="shared" si="3"/>
        <v>0x2B528</v>
      </c>
      <c r="E42" s="76">
        <v>5492</v>
      </c>
      <c r="F42" s="76" t="s">
        <v>238</v>
      </c>
      <c r="G42" s="75" t="str">
        <f t="shared" si="4"/>
        <v>0x89328</v>
      </c>
      <c r="H42" s="1"/>
    </row>
    <row r="43" spans="2:8" ht="15.75">
      <c r="D43" s="73" t="str">
        <f t="shared" si="3"/>
        <v>0x2CA9C</v>
      </c>
      <c r="E43" s="76">
        <v>1208</v>
      </c>
      <c r="F43" s="76" t="s">
        <v>239</v>
      </c>
      <c r="G43" s="75" t="str">
        <f t="shared" si="4"/>
        <v>0x8A89C</v>
      </c>
      <c r="H43" s="1"/>
    </row>
    <row r="44" spans="2:8" ht="15.75">
      <c r="D44" s="73" t="str">
        <f t="shared" si="3"/>
        <v>0x2CF54</v>
      </c>
      <c r="E44" s="76">
        <v>608</v>
      </c>
      <c r="F44" s="76" t="s">
        <v>240</v>
      </c>
      <c r="G44" s="75" t="str">
        <f t="shared" si="4"/>
        <v>0x8AD54</v>
      </c>
      <c r="H44" s="1"/>
    </row>
    <row r="45" spans="2:8" ht="15.75">
      <c r="D45" s="73" t="str">
        <f t="shared" si="3"/>
        <v>0x2D1B4</v>
      </c>
      <c r="E45" s="76">
        <v>344</v>
      </c>
      <c r="F45" s="76" t="s">
        <v>241</v>
      </c>
      <c r="G45" s="75" t="str">
        <f t="shared" si="4"/>
        <v>0x8AFB4</v>
      </c>
      <c r="H45" s="1"/>
    </row>
    <row r="46" spans="2:8" ht="15.75">
      <c r="D46" s="73" t="str">
        <f t="shared" si="3"/>
        <v>0x2D30C</v>
      </c>
      <c r="E46" s="76">
        <v>512</v>
      </c>
      <c r="F46" s="76" t="s">
        <v>242</v>
      </c>
      <c r="G46" s="75" t="str">
        <f t="shared" si="4"/>
        <v>0x8B10C</v>
      </c>
      <c r="H46" s="1"/>
    </row>
    <row r="47" spans="2:8" ht="15.75">
      <c r="D47" s="73" t="str">
        <f t="shared" si="3"/>
        <v>0x2D50C</v>
      </c>
      <c r="E47" s="76">
        <v>23796</v>
      </c>
      <c r="F47" s="76" t="s">
        <v>243</v>
      </c>
      <c r="G47" s="75" t="str">
        <f t="shared" si="4"/>
        <v>0x8B30C</v>
      </c>
      <c r="H47" s="1"/>
    </row>
    <row r="48" spans="2:8" ht="16.5" thickBot="1">
      <c r="D48" s="73" t="str">
        <f t="shared" si="3"/>
        <v>0x33200</v>
      </c>
      <c r="E48" s="77"/>
      <c r="F48" s="78"/>
      <c r="G48" s="75" t="str">
        <f t="shared" si="4"/>
        <v>0x91000</v>
      </c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72">
    <mergeCell ref="J8:J9"/>
    <mergeCell ref="E8:E9"/>
    <mergeCell ref="F8:F9"/>
    <mergeCell ref="G8:G9"/>
    <mergeCell ref="H8:H9"/>
    <mergeCell ref="I8:I9"/>
    <mergeCell ref="U8:U10"/>
    <mergeCell ref="E10:E11"/>
    <mergeCell ref="F10:F11"/>
    <mergeCell ref="G10:G11"/>
    <mergeCell ref="Q11:Q25"/>
    <mergeCell ref="U11:U25"/>
    <mergeCell ref="E12:E13"/>
    <mergeCell ref="F12:F13"/>
    <mergeCell ref="H12:H13"/>
    <mergeCell ref="I12:I13"/>
    <mergeCell ref="K8:K9"/>
    <mergeCell ref="L8:L9"/>
    <mergeCell ref="M8:M9"/>
    <mergeCell ref="Q8:Q10"/>
    <mergeCell ref="R8:R10"/>
    <mergeCell ref="S8:S10"/>
    <mergeCell ref="J12:J13"/>
    <mergeCell ref="K12:K13"/>
    <mergeCell ref="L12:L13"/>
    <mergeCell ref="M12:M13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E18:E19"/>
    <mergeCell ref="F18:F19"/>
    <mergeCell ref="G18:G19"/>
    <mergeCell ref="H18:H21"/>
    <mergeCell ref="I18:I21"/>
    <mergeCell ref="J18:J21"/>
    <mergeCell ref="K18:K21"/>
    <mergeCell ref="L18:L21"/>
    <mergeCell ref="M18:M21"/>
    <mergeCell ref="E20:E21"/>
    <mergeCell ref="F20:F21"/>
    <mergeCell ref="G20:G21"/>
    <mergeCell ref="J22:J23"/>
    <mergeCell ref="R26:R27"/>
    <mergeCell ref="S26:S27"/>
    <mergeCell ref="U26:U27"/>
    <mergeCell ref="D33:E33"/>
    <mergeCell ref="K22:K23"/>
    <mergeCell ref="L22:L23"/>
    <mergeCell ref="M22:M23"/>
    <mergeCell ref="E24:E25"/>
    <mergeCell ref="F24:F25"/>
    <mergeCell ref="Q26:Q27"/>
    <mergeCell ref="E22:E23"/>
    <mergeCell ref="F22:F23"/>
    <mergeCell ref="G22:G25"/>
    <mergeCell ref="H22:H23"/>
    <mergeCell ref="I22:I23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BD91-999C-4D0B-9C7B-BF3D361A5FC4}">
  <dimension ref="A1:I73"/>
  <sheetViews>
    <sheetView zoomScale="70" zoomScaleNormal="70" workbookViewId="0"/>
  </sheetViews>
  <sheetFormatPr defaultRowHeight="17" x14ac:dyDescent="0.4"/>
  <cols>
    <col min="1" max="1" width="14.90625" bestFit="1" customWidth="1"/>
    <col min="2" max="2" width="25.36328125" bestFit="1" customWidth="1"/>
    <col min="3" max="3" width="25.81640625" bestFit="1" customWidth="1"/>
    <col min="4" max="4" width="25.36328125" bestFit="1" customWidth="1"/>
    <col min="5" max="5" width="25.81640625" bestFit="1" customWidth="1"/>
    <col min="6" max="7" width="25.36328125" bestFit="1" customWidth="1"/>
    <col min="8" max="9" width="25.81640625" bestFit="1" customWidth="1"/>
  </cols>
  <sheetData>
    <row r="1" spans="1:9" ht="17.5" thickBot="1" x14ac:dyDescent="0.45">
      <c r="A1" s="356"/>
      <c r="B1" s="357">
        <v>950</v>
      </c>
      <c r="C1" s="358">
        <v>951</v>
      </c>
      <c r="D1" s="357">
        <v>950</v>
      </c>
      <c r="E1" s="358">
        <v>951</v>
      </c>
      <c r="F1" s="357">
        <v>950</v>
      </c>
      <c r="G1" s="357">
        <v>950</v>
      </c>
      <c r="H1" s="358">
        <v>951</v>
      </c>
      <c r="I1" s="358">
        <v>951</v>
      </c>
    </row>
    <row r="2" spans="1:9" ht="17.5" thickBot="1" x14ac:dyDescent="0.45">
      <c r="A2" s="356"/>
      <c r="B2" s="386" t="inlineStr">
        <is>
          <t>1IC</t>
        </is>
      </c>
      <c r="C2" s="387"/>
      <c r="D2" s="387"/>
      <c r="E2" s="388"/>
      <c r="F2" s="386" t="inlineStr">
        <is>
          <t>2IC</t>
        </is>
      </c>
      <c r="G2" s="387"/>
      <c r="H2" s="387"/>
      <c r="I2" s="388"/>
    </row>
    <row r="3" spans="1:9" ht="17.5" thickBot="1" x14ac:dyDescent="0.45">
      <c r="A3" s="389" t="inlineStr">
        <is>
          <t>Flash addr</t>
        </is>
      </c>
      <c r="B3" s="359" t="inlineStr">
        <is>
          <t xml:space="preserve">2M bit </t>
        </is>
      </c>
      <c r="C3" s="359" t="inlineStr">
        <is>
          <t xml:space="preserve">4M bit </t>
        </is>
      </c>
      <c r="D3" s="359" t="inlineStr">
        <is>
          <t xml:space="preserve">4M bit </t>
        </is>
      </c>
      <c r="E3" s="359" t="inlineStr">
        <is>
          <t xml:space="preserve">8M bit </t>
        </is>
      </c>
      <c r="F3" s="359" t="inlineStr">
        <is>
          <t>4M bit</t>
        </is>
      </c>
      <c r="G3" s="359" t="inlineStr">
        <is>
          <t xml:space="preserve">8M bit </t>
        </is>
      </c>
      <c r="H3" s="359" t="inlineStr">
        <is>
          <t xml:space="preserve">4M bit </t>
        </is>
      </c>
      <c r="I3" s="359" t="inlineStr">
        <is>
          <t xml:space="preserve">8M bit </t>
        </is>
      </c>
    </row>
    <row r="4" spans="1:9" ht="17.5" thickBot="1" x14ac:dyDescent="0.45">
      <c r="A4" s="390"/>
      <c r="B4" s="359" t="inlineStr">
        <is>
          <t>W/o BK &amp; W/o LDC</t>
        </is>
      </c>
      <c r="C4" s="359" t="inlineStr">
        <is>
          <t>W/o BK &amp; W/i LDC</t>
        </is>
      </c>
      <c r="D4" s="359" t="inlineStr">
        <is>
          <t>W/i BK &amp; W/o LDC</t>
        </is>
      </c>
      <c r="E4" s="359" t="inlineStr">
        <is>
          <t>W/i BK &amp; W/i LDC</t>
        </is>
      </c>
      <c r="F4" s="359" t="inlineStr">
        <is>
          <t>W/o BK &amp; W/o LDC</t>
        </is>
      </c>
      <c r="G4" s="359" t="inlineStr">
        <is>
          <t>W/i BK &amp; W/o LDC</t>
        </is>
      </c>
      <c r="H4" s="359" t="inlineStr">
        <is>
          <t>W/o BK &amp; W/i LDC</t>
        </is>
      </c>
      <c r="I4" s="359" t="inlineStr">
        <is>
          <t>W/i BK &amp; W/i LDC</t>
        </is>
      </c>
    </row>
    <row r="5" spans="1:9" ht="17.5" thickBot="1" x14ac:dyDescent="0.45">
      <c r="A5" s="391"/>
      <c r="B5" s="392" t="inlineStr">
        <is>
          <t>Application</t>
        </is>
      </c>
      <c r="C5" s="393"/>
      <c r="D5" s="393"/>
      <c r="E5" s="394"/>
      <c r="F5" s="395" t="inlineStr">
        <is>
          <t>Application</t>
        </is>
      </c>
      <c r="G5" s="393"/>
      <c r="H5" s="393"/>
      <c r="I5" s="394"/>
    </row>
    <row r="6" spans="1:9" ht="17.5" thickBot="1" x14ac:dyDescent="0.45">
      <c r="A6" s="360" t="inlineStr">
        <is>
          <t>0-FFF</t>
        </is>
      </c>
      <c r="B6" s="361" t="inlineStr">
        <is>
          <t>DP Header</t>
        </is>
      </c>
      <c r="C6" s="361" t="inlineStr">
        <is>
          <t>DP Header</t>
        </is>
      </c>
      <c r="D6" s="361" t="inlineStr">
        <is>
          <t>DP Header</t>
        </is>
      </c>
      <c r="E6" s="361" t="inlineStr">
        <is>
          <t>DP Header</t>
        </is>
      </c>
      <c r="F6" s="361" t="inlineStr">
        <is>
          <t>DP Header</t>
        </is>
      </c>
      <c r="G6" s="361" t="inlineStr">
        <is>
          <t>DP Header</t>
        </is>
      </c>
      <c r="H6" s="361" t="inlineStr">
        <is>
          <t>DP Header</t>
        </is>
      </c>
      <c r="I6" s="361" t="inlineStr">
        <is>
          <t>DP Header</t>
        </is>
      </c>
    </row>
    <row r="7" spans="1:9" ht="17.5" thickBot="1" x14ac:dyDescent="0.45">
      <c r="A7" s="360" t="inlineStr">
        <is>
          <t>1000-1FFF</t>
        </is>
      </c>
      <c r="B7" s="396" t="inlineStr">
        <is>
          <t>PRAM+DRAM</t>
        </is>
      </c>
      <c r="C7" s="361" t="inlineStr">
        <is>
          <t>TGAM*</t>
        </is>
      </c>
      <c r="D7" s="396" t="inlineStr">
        <is>
          <t>PRAM+DRAM</t>
        </is>
      </c>
      <c r="E7" s="361" t="inlineStr">
        <is>
          <t>TGAM*</t>
        </is>
      </c>
      <c r="F7" s="361" t="inlineStr">
        <is>
          <t>TGAM*</t>
        </is>
      </c>
      <c r="G7" s="361" t="inlineStr">
        <is>
          <t>TGAM*</t>
        </is>
      </c>
      <c r="H7" s="361" t="inlineStr">
        <is>
          <t>TGAM*</t>
        </is>
      </c>
      <c r="I7" s="361" t="inlineStr">
        <is>
          <t>TGAM*</t>
        </is>
      </c>
    </row>
    <row r="8" spans="1:9" ht="17.5" thickBot="1" x14ac:dyDescent="0.45">
      <c r="A8" s="360" t="inlineStr">
        <is>
          <t>2000-2FFF</t>
        </is>
      </c>
      <c r="B8" s="397"/>
      <c r="C8" s="361" t="inlineStr">
        <is>
          <t>TLUT*</t>
        </is>
      </c>
      <c r="D8" s="397"/>
      <c r="E8" s="361" t="inlineStr">
        <is>
          <t>TLUT*</t>
        </is>
      </c>
      <c r="F8" s="361" t="inlineStr">
        <is>
          <t>TLUT*</t>
        </is>
      </c>
      <c r="G8" s="361" t="inlineStr">
        <is>
          <t>TLUT*</t>
        </is>
      </c>
      <c r="H8" s="361" t="inlineStr">
        <is>
          <t>TLUT*</t>
        </is>
      </c>
      <c r="I8" s="361" t="inlineStr">
        <is>
          <t>TLUT*</t>
        </is>
      </c>
    </row>
    <row r="9" spans="1:9" ht="17.5" thickBot="1" x14ac:dyDescent="0.45">
      <c r="A9" s="360" t="inlineStr">
        <is>
          <t>3000-3FFF</t>
        </is>
      </c>
      <c r="B9" s="397"/>
      <c r="C9" s="361" t="inlineStr">
        <is>
          <t>VCOM*</t>
        </is>
      </c>
      <c r="D9" s="397"/>
      <c r="E9" s="361" t="inlineStr">
        <is>
          <t>VCOM*</t>
        </is>
      </c>
      <c r="F9" s="361" t="inlineStr">
        <is>
          <t>VCOM*</t>
        </is>
      </c>
      <c r="G9" s="361" t="inlineStr">
        <is>
          <t>VCOM*</t>
        </is>
      </c>
      <c r="H9" s="361" t="inlineStr">
        <is>
          <t>VCOM*</t>
        </is>
      </c>
      <c r="I9" s="361" t="inlineStr">
        <is>
          <t>VCOM*</t>
        </is>
      </c>
    </row>
    <row r="10" spans="1:9" ht="17.5" thickBot="1" x14ac:dyDescent="0.45">
      <c r="A10" s="360" t="inlineStr">
        <is>
          <t>4000-4FFF</t>
        </is>
      </c>
      <c r="B10" s="397"/>
      <c r="C10" s="361" t="inlineStr">
        <is>
          <t>CSID*</t>
        </is>
      </c>
      <c r="D10" s="397"/>
      <c r="E10" s="361" t="inlineStr">
        <is>
          <t>CSID*</t>
        </is>
      </c>
      <c r="F10" s="361" t="inlineStr">
        <is>
          <t>CSID*</t>
        </is>
      </c>
      <c r="G10" s="361" t="inlineStr">
        <is>
          <t>CSID*</t>
        </is>
      </c>
      <c r="H10" s="361" t="inlineStr">
        <is>
          <t>CSID*</t>
        </is>
      </c>
      <c r="I10" s="361" t="inlineStr">
        <is>
          <t>CSID*</t>
        </is>
      </c>
    </row>
    <row r="11" spans="1:9" ht="17.5" thickBot="1" x14ac:dyDescent="0.45">
      <c r="A11" s="360" t="inlineStr">
        <is>
          <t>5000-5FFF</t>
        </is>
      </c>
      <c r="B11" s="397"/>
      <c r="C11" s="361" t="inlineStr">
        <is>
          <t>CMD</t>
        </is>
      </c>
      <c r="D11" s="397"/>
      <c r="E11" s="361" t="inlineStr">
        <is>
          <t>CMD</t>
        </is>
      </c>
      <c r="F11" s="361" t="inlineStr">
        <is>
          <t>CMD</t>
        </is>
      </c>
      <c r="G11" s="361" t="inlineStr">
        <is>
          <t>CMD</t>
        </is>
      </c>
      <c r="H11" s="361" t="inlineStr">
        <is>
          <t>CMD</t>
        </is>
      </c>
      <c r="I11" s="361" t="inlineStr">
        <is>
          <t>CMD</t>
        </is>
      </c>
    </row>
    <row r="12" spans="1:9" ht="17.5" thickBot="1" x14ac:dyDescent="0.45">
      <c r="A12" s="360" t="inlineStr">
        <is>
          <t>6000-7FFF</t>
        </is>
      </c>
      <c r="B12" s="397"/>
      <c r="C12" s="361" t="inlineStr">
        <is>
          <t>eDP</t>
        </is>
      </c>
      <c r="D12" s="397"/>
      <c r="E12" s="361" t="inlineStr">
        <is>
          <t>eDP</t>
        </is>
      </c>
      <c r="F12" s="361" t="inlineStr">
        <is>
          <t>eDP</t>
        </is>
      </c>
      <c r="G12" s="361" t="inlineStr">
        <is>
          <t>eDP</t>
        </is>
      </c>
      <c r="H12" s="361" t="inlineStr">
        <is>
          <t>eDP</t>
        </is>
      </c>
      <c r="I12" s="361" t="inlineStr">
        <is>
          <t>eDP</t>
        </is>
      </c>
    </row>
    <row r="13" spans="1:9" ht="17.5" thickBot="1" x14ac:dyDescent="0.45">
      <c r="A13" s="360" t="inlineStr">
        <is>
          <t>8000-8FFF</t>
        </is>
      </c>
      <c r="B13" s="397"/>
      <c r="C13" s="361" t="inlineStr">
        <is>
          <t>OSD*</t>
        </is>
      </c>
      <c r="D13" s="397"/>
      <c r="E13" s="361" t="inlineStr">
        <is>
          <t>OSD*</t>
        </is>
      </c>
      <c r="F13" s="361" t="inlineStr">
        <is>
          <t>OSD*</t>
        </is>
      </c>
      <c r="G13" s="361" t="inlineStr">
        <is>
          <t>OSD*</t>
        </is>
      </c>
      <c r="H13" s="361" t="inlineStr">
        <is>
          <t>OSD*</t>
        </is>
      </c>
      <c r="I13" s="361" t="inlineStr">
        <is>
          <t>OSD*</t>
        </is>
      </c>
    </row>
    <row r="14" spans="1:9" ht="17.5" thickBot="1" x14ac:dyDescent="0.45">
      <c r="A14" s="360" t="inlineStr">
        <is>
          <t>9000-9FFF</t>
        </is>
      </c>
      <c r="B14" s="398"/>
      <c r="C14" s="361" t="inlineStr">
        <is>
          <t>VOLT*</t>
        </is>
      </c>
      <c r="D14" s="398"/>
      <c r="E14" s="361" t="inlineStr">
        <is>
          <t>VOLT*</t>
        </is>
      </c>
      <c r="F14" s="361" t="inlineStr">
        <is>
          <t>VOLT*</t>
        </is>
      </c>
      <c r="G14" s="361" t="inlineStr">
        <is>
          <t>VOLT*</t>
        </is>
      </c>
      <c r="H14" s="361" t="inlineStr">
        <is>
          <t>VOLT*</t>
        </is>
      </c>
      <c r="I14" s="361" t="inlineStr">
        <is>
          <t>VOLT*</t>
        </is>
      </c>
    </row>
    <row r="15" spans="1:9" ht="17.5" thickBot="1" x14ac:dyDescent="0.45">
      <c r="A15" s="360" t="inlineStr">
        <is>
          <t>A000-37FFF</t>
        </is>
      </c>
      <c r="B15" s="362" t="inlineStr">
        <is>
          <t>TP FW</t>
        </is>
      </c>
      <c r="C15" s="362" t="inlineStr">
        <is>
          <t>TP FW</t>
        </is>
      </c>
      <c r="D15" s="362" t="inlineStr">
        <is>
          <t>TP FW</t>
        </is>
      </c>
      <c r="E15" s="362" t="inlineStr">
        <is>
          <t>TP FW</t>
        </is>
      </c>
      <c r="F15" s="362" t="inlineStr">
        <is>
          <t>TP FW</t>
        </is>
      </c>
      <c r="G15" s="362" t="inlineStr">
        <is>
          <t>TP FW</t>
        </is>
      </c>
      <c r="H15" s="362" t="inlineStr">
        <is>
          <t>TP FW</t>
        </is>
      </c>
      <c r="I15" s="362" t="inlineStr">
        <is>
          <t>TP FW</t>
        </is>
      </c>
    </row>
    <row r="16" spans="1:9" ht="17.5" thickBot="1" x14ac:dyDescent="0.45">
      <c r="A16" s="360" t="inlineStr">
        <is>
          <t>38000-38FFF</t>
        </is>
      </c>
      <c r="B16" s="361" t="inlineStr">
        <is>
          <t>TGAM*</t>
        </is>
      </c>
      <c r="C16" s="389" t="inlineStr">
        <is>
          <t>Dummy</t>
        </is>
      </c>
      <c r="D16" s="361" t="inlineStr">
        <is>
          <t>TGAM*</t>
        </is>
      </c>
      <c r="E16" s="389" t="inlineStr">
        <is>
          <t>Dummy</t>
        </is>
      </c>
      <c r="F16" s="396" t="inlineStr">
        <is>
          <t>PRAM+DRAM</t>
        </is>
      </c>
      <c r="G16" s="389" t="inlineStr">
        <is>
          <t>Dummy</t>
        </is>
      </c>
      <c r="H16" s="389" t="inlineStr">
        <is>
          <t>Dummy</t>
        </is>
      </c>
      <c r="I16" s="389" t="inlineStr">
        <is>
          <t>Dummy</t>
        </is>
      </c>
    </row>
    <row r="17" spans="1:9" ht="17.5" thickBot="1" x14ac:dyDescent="0.45">
      <c r="A17" s="360" t="inlineStr">
        <is>
          <t>39000-39FFF</t>
        </is>
      </c>
      <c r="B17" s="361" t="inlineStr">
        <is>
          <t>TLUT*</t>
        </is>
      </c>
      <c r="C17" s="390"/>
      <c r="D17" s="361" t="inlineStr">
        <is>
          <t>TLUT*</t>
        </is>
      </c>
      <c r="E17" s="390"/>
      <c r="F17" s="397"/>
      <c r="G17" s="390"/>
      <c r="H17" s="390"/>
      <c r="I17" s="390"/>
    </row>
    <row r="18" spans="1:9" ht="17.5" thickBot="1" x14ac:dyDescent="0.45">
      <c r="A18" s="360" t="inlineStr">
        <is>
          <t>3A000-3AFFF</t>
        </is>
      </c>
      <c r="B18" s="361" t="inlineStr">
        <is>
          <t>VCOM*+VOLT*</t>
        </is>
      </c>
      <c r="C18" s="390"/>
      <c r="D18" s="361" t="inlineStr">
        <is>
          <t>VCOM*+VOLT*</t>
        </is>
      </c>
      <c r="E18" s="390"/>
      <c r="F18" s="397"/>
      <c r="G18" s="390"/>
      <c r="H18" s="390"/>
      <c r="I18" s="390"/>
    </row>
    <row r="19" spans="1:9" ht="17.5" thickBot="1" x14ac:dyDescent="0.45">
      <c r="A19" s="360" t="inlineStr">
        <is>
          <t>3B000-3BFFF</t>
        </is>
      </c>
      <c r="B19" s="361" t="inlineStr">
        <is>
          <t>CMD</t>
        </is>
      </c>
      <c r="C19" s="390"/>
      <c r="D19" s="361" t="inlineStr">
        <is>
          <t>CMD</t>
        </is>
      </c>
      <c r="E19" s="390"/>
      <c r="F19" s="397"/>
      <c r="G19" s="390"/>
      <c r="H19" s="390"/>
      <c r="I19" s="390"/>
    </row>
    <row r="20" spans="1:9" ht="17.5" thickBot="1" x14ac:dyDescent="0.45">
      <c r="A20" s="360" t="inlineStr">
        <is>
          <t>3C000-3CFFF</t>
        </is>
      </c>
      <c r="B20" s="361" t="inlineStr">
        <is>
          <t>CSID+eDP</t>
        </is>
      </c>
      <c r="C20" s="390"/>
      <c r="D20" s="361" t="inlineStr">
        <is>
          <t>CSID+eDP</t>
        </is>
      </c>
      <c r="E20" s="390"/>
      <c r="F20" s="397"/>
      <c r="G20" s="390"/>
      <c r="H20" s="390"/>
      <c r="I20" s="390"/>
    </row>
    <row r="21" spans="1:9" ht="17.5" thickBot="1" x14ac:dyDescent="0.45">
      <c r="A21" s="360" t="inlineStr">
        <is>
          <t>3D000-3DFFF</t>
        </is>
      </c>
      <c r="B21" s="361" t="inlineStr">
        <is>
          <t>OSD*</t>
        </is>
      </c>
      <c r="C21" s="390"/>
      <c r="D21" s="361" t="inlineStr">
        <is>
          <t>OSD*</t>
        </is>
      </c>
      <c r="E21" s="390"/>
      <c r="F21" s="397"/>
      <c r="G21" s="390"/>
      <c r="H21" s="390"/>
      <c r="I21" s="390"/>
    </row>
    <row r="22" spans="1:9" ht="17.5" thickBot="1" x14ac:dyDescent="0.45">
      <c r="A22" s="360" t="inlineStr">
        <is>
          <t>3E000-3EFFF</t>
        </is>
      </c>
      <c r="B22" s="363" t="inlineStr">
        <is>
          <t>BKL_LED+MCU</t>
        </is>
      </c>
      <c r="C22" s="390"/>
      <c r="D22" s="363" t="inlineStr">
        <is>
          <t>BKL_LED+MCU</t>
        </is>
      </c>
      <c r="E22" s="390"/>
      <c r="F22" s="397"/>
      <c r="G22" s="390"/>
      <c r="H22" s="390"/>
      <c r="I22" s="390"/>
    </row>
    <row r="23" spans="1:9" ht="17.5" thickBot="1" x14ac:dyDescent="0.45">
      <c r="A23" s="360" t="inlineStr">
        <is>
          <t>3F000-3FFFF</t>
        </is>
      </c>
      <c r="B23" s="364"/>
      <c r="C23" s="391"/>
      <c r="D23" s="364"/>
      <c r="E23" s="391"/>
      <c r="F23" s="397"/>
      <c r="G23" s="391"/>
      <c r="H23" s="391"/>
      <c r="I23" s="391"/>
    </row>
    <row r="24" spans="1:9" ht="17.5" thickBot="1" x14ac:dyDescent="0.45">
      <c r="A24" s="365" t="inlineStr">
        <is>
          <t>40000-40FFF</t>
        </is>
      </c>
      <c r="B24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C24" s="356"/>
      <c r="D24" s="367" t="inlineStr">
        <is>
          <t>DP Header - BK</t>
        </is>
      </c>
      <c r="E24" s="368" t="inlineStr">
        <is>
          <t>DP Header - BK</t>
        </is>
      </c>
      <c r="F24" s="397"/>
      <c r="G24" s="368" t="inlineStr">
        <is>
          <t>DP Header - BK</t>
        </is>
      </c>
      <c r="H24" s="369"/>
      <c r="I24" s="368" t="inlineStr">
        <is>
          <t>DP Header - BK</t>
        </is>
      </c>
    </row>
    <row r="25" spans="1:9" ht="17.5" thickBot="1" x14ac:dyDescent="0.45">
      <c r="A25" s="365" t="inlineStr">
        <is>
          <t>41000-41FFF</t>
        </is>
      </c>
      <c r="B25" s="370"/>
      <c r="C25" s="371" t="inlineStr">
        <is>
          <t>LSGN*</t>
        </is>
      </c>
      <c r="D25" s="396" t="inlineStr">
        <is>
          <t>PRAM+DRAM - BK</t>
        </is>
      </c>
      <c r="E25" s="372" t="inlineStr">
        <is>
          <t>LSGN*</t>
        </is>
      </c>
      <c r="F25" s="397"/>
      <c r="G25" s="396" t="inlineStr">
        <is>
          <t>PRAM+DRAM</t>
        </is>
      </c>
      <c r="H25" s="400" t="inlineStr">
        <is>
          <t>LSGN"</t>
        </is>
      </c>
      <c r="I25" s="400" t="inlineStr">
        <is>
          <t>LSGN"</t>
        </is>
      </c>
    </row>
    <row r="26" spans="1:9" ht="17.5" thickBot="1" x14ac:dyDescent="0.45">
      <c r="A26" s="365" t="inlineStr">
        <is>
          <t>42000-42FFF</t>
        </is>
      </c>
      <c r="B26" s="370"/>
      <c r="C26" s="372" t="inlineStr">
        <is>
          <t>BKL_LDC*</t>
        </is>
      </c>
      <c r="D26" s="397"/>
      <c r="E26" s="372" t="inlineStr">
        <is>
          <t>BKL_LDC*</t>
        </is>
      </c>
      <c r="F26" s="397"/>
      <c r="G26" s="397"/>
      <c r="H26" s="401"/>
      <c r="I26" s="401"/>
    </row>
    <row r="27" spans="1:9" ht="17.5" thickBot="1" x14ac:dyDescent="0.45">
      <c r="A27" s="365" t="inlineStr">
        <is>
          <t>43000-43FFF</t>
        </is>
      </c>
      <c r="B27" s="370"/>
      <c r="C27" s="372" t="inlineStr">
        <is>
          <t>BKL_LED/MCU/LEDACC</t>
        </is>
      </c>
      <c r="D27" s="397"/>
      <c r="E27" s="372" t="inlineStr">
        <is>
          <t>BKL_LED/MCU/LEDACC</t>
        </is>
      </c>
      <c r="F27" s="397"/>
      <c r="G27" s="397"/>
      <c r="H27" s="372" t="inlineStr">
        <is>
          <t>BKL_LDC*</t>
        </is>
      </c>
      <c r="I27" s="372" t="inlineStr">
        <is>
          <t>BKL_LDC*</t>
        </is>
      </c>
    </row>
    <row r="28" spans="1:9" ht="17.5" thickBot="1" x14ac:dyDescent="0.45">
      <c r="A28" s="365" t="inlineStr">
        <is>
          <t>44000-44FFF</t>
        </is>
      </c>
      <c r="B28" s="370"/>
      <c r="C28" s="400" t="inlineStr">
        <is>
          <t>PRAM+DRAM</t>
        </is>
      </c>
      <c r="D28" s="397"/>
      <c r="E28" s="400" t="inlineStr">
        <is>
          <t>PRAM+DRAM</t>
        </is>
      </c>
      <c r="F28" s="397"/>
      <c r="G28" s="397"/>
      <c r="H28" s="372" t="inlineStr">
        <is>
          <t>BKL_LED/MCU/LEDACC</t>
        </is>
      </c>
      <c r="I28" s="372" t="inlineStr">
        <is>
          <t>BKL_LED/MCU/LEDACC</t>
        </is>
      </c>
    </row>
    <row r="29" spans="1:9" ht="17.5" thickBot="1" x14ac:dyDescent="0.45">
      <c r="A29" s="365" t="inlineStr">
        <is>
          <t>45000-45FFF</t>
        </is>
      </c>
      <c r="B29" s="370"/>
      <c r="C29" s="402"/>
      <c r="D29" s="397"/>
      <c r="E29" s="402"/>
      <c r="F29" s="397"/>
      <c r="G29" s="397"/>
      <c r="H29" s="400" t="inlineStr">
        <is>
          <t>PRAM+DRAM</t>
        </is>
      </c>
      <c r="I29" s="400" t="inlineStr">
        <is>
          <t>PRAM+DRAM</t>
        </is>
      </c>
    </row>
    <row r="30" spans="1:9" ht="17.5" thickBot="1" x14ac:dyDescent="0.45">
      <c r="A30" s="365" t="inlineStr">
        <is>
          <t>46000-47FFF</t>
        </is>
      </c>
      <c r="B30" s="370"/>
      <c r="C30" s="402"/>
      <c r="D30" s="397"/>
      <c r="E30" s="402"/>
      <c r="F30" s="397"/>
      <c r="G30" s="397"/>
      <c r="H30" s="402"/>
      <c r="I30" s="402"/>
    </row>
    <row r="31" spans="1:9" ht="17.5" thickBot="1" x14ac:dyDescent="0.45">
      <c r="A31" s="365" t="inlineStr">
        <is>
          <t>48000-48FFF</t>
        </is>
      </c>
      <c r="B31" s="370"/>
      <c r="C31" s="402"/>
      <c r="D31" s="397"/>
      <c r="E31" s="402"/>
      <c r="F31" s="397"/>
      <c r="G31" s="397"/>
      <c r="H31" s="402"/>
      <c r="I31" s="402"/>
    </row>
    <row r="32" spans="1:9" ht="17.5" thickBot="1" x14ac:dyDescent="0.45">
      <c r="A32" s="365" t="inlineStr">
        <is>
          <t>49000-49FFF</t>
        </is>
      </c>
      <c r="B32" s="370"/>
      <c r="C32" s="402"/>
      <c r="D32" s="398"/>
      <c r="E32" s="402"/>
      <c r="F32" s="398"/>
      <c r="G32" s="397"/>
      <c r="H32" s="402"/>
      <c r="I32" s="402"/>
    </row>
    <row r="33" spans="1:9" ht="17.5" thickBot="1" x14ac:dyDescent="0.45">
      <c r="A33" s="365" t="inlineStr">
        <is>
          <t>4A000-54FFF</t>
        </is>
      </c>
      <c r="B33" s="370"/>
      <c r="C33" s="401"/>
      <c r="D33" s="403" t="inlineStr">
        <is>
          <t>TP FW - BK</t>
        </is>
      </c>
      <c r="E33" s="401"/>
      <c r="F33" s="373"/>
      <c r="G33" s="397"/>
      <c r="H33" s="402"/>
      <c r="I33" s="402"/>
    </row>
    <row r="34" spans="1:9" ht="17.5" thickBot="1" x14ac:dyDescent="0.45">
      <c r="A34" s="365" t="inlineStr">
        <is>
          <t>55000-56FFF</t>
        </is>
      </c>
      <c r="B34" s="370"/>
      <c r="C34" s="374"/>
      <c r="D34" s="404"/>
      <c r="E34" s="374"/>
      <c r="F34" s="369"/>
      <c r="G34" s="397"/>
      <c r="H34" s="402"/>
      <c r="I34" s="402"/>
    </row>
    <row r="35" spans="1:9" ht="17.5" thickBot="1" x14ac:dyDescent="0.45">
      <c r="A35" s="365" t="inlineStr">
        <is>
          <t>57000-57FFF</t>
        </is>
      </c>
      <c r="B35" s="370"/>
      <c r="C35" s="372" t="inlineStr">
        <is>
          <t>HDGN</t>
        </is>
      </c>
      <c r="D35" s="404"/>
      <c r="E35" s="372" t="inlineStr">
        <is>
          <t>HDGN</t>
        </is>
      </c>
      <c r="F35" s="375"/>
      <c r="G35" s="399"/>
      <c r="H35" s="401"/>
      <c r="I35" s="401"/>
    </row>
    <row r="36" spans="1:9" ht="17.5" thickBot="1" x14ac:dyDescent="0.45">
      <c r="A36" s="365" t="inlineStr">
        <is>
          <t>58000-58FFF</t>
        </is>
      </c>
      <c r="B36" s="370"/>
      <c r="C36" s="372" t="inlineStr">
        <is>
          <t>LEDACC_DMY</t>
        </is>
      </c>
      <c r="D36" s="404"/>
      <c r="E36" s="372" t="inlineStr">
        <is>
          <t>LEDACC_DMY</t>
        </is>
      </c>
      <c r="F36" s="375"/>
      <c r="G36" s="364"/>
      <c r="H36" s="372" t="inlineStr">
        <is>
          <t>HDGN</t>
        </is>
      </c>
      <c r="I36" s="372" t="inlineStr">
        <is>
          <t>HDGN</t>
        </is>
      </c>
    </row>
    <row r="37" spans="1:9" ht="17.5" thickBot="1" x14ac:dyDescent="0.45">
      <c r="A37" s="365" t="inlineStr">
        <is>
          <t>59000-59FFF</t>
        </is>
      </c>
      <c r="B37" s="370"/>
      <c r="C37" s="372" t="inlineStr">
        <is>
          <t>LEDACC_HDR</t>
        </is>
      </c>
      <c r="D37" s="404"/>
      <c r="E37" s="372" t="inlineStr">
        <is>
          <t>LEDACC_HDR</t>
        </is>
      </c>
      <c r="F37" s="375"/>
      <c r="G37" s="364"/>
      <c r="H37" s="372" t="inlineStr">
        <is>
          <t>LEDACC_DMY</t>
        </is>
      </c>
      <c r="I37" s="372" t="inlineStr">
        <is>
          <t>LEDACC_DMY</t>
        </is>
      </c>
    </row>
    <row r="38" spans="1:9" ht="17.5" thickBot="1" x14ac:dyDescent="0.45">
      <c r="A38" s="365" t="inlineStr">
        <is>
          <t>5A000-5AFFF</t>
        </is>
      </c>
      <c r="B38" s="370"/>
      <c r="C38" s="372" t="inlineStr">
        <is>
          <t>LEDACC_RMP</t>
        </is>
      </c>
      <c r="D38" s="404"/>
      <c r="E38" s="372" t="inlineStr">
        <is>
          <t>LEDACC_RMP</t>
        </is>
      </c>
      <c r="F38" s="375"/>
      <c r="G38" s="364"/>
      <c r="H38" s="372" t="inlineStr">
        <is>
          <t>LEDACC_HDR</t>
        </is>
      </c>
      <c r="I38" s="372" t="inlineStr">
        <is>
          <t>LEDACC_HDR</t>
        </is>
      </c>
    </row>
    <row r="39" spans="1:9" ht="17.5" thickBot="1" x14ac:dyDescent="0.45">
      <c r="A39" s="365" t="inlineStr">
        <is>
          <t>5B000-5CFFF</t>
        </is>
      </c>
      <c r="B39" s="370"/>
      <c r="C39" s="372" t="inlineStr">
        <is>
          <t>LEDACC_STF</t>
        </is>
      </c>
      <c r="D39" s="404"/>
      <c r="E39" s="372" t="inlineStr">
        <is>
          <t>LEDACC_STF</t>
        </is>
      </c>
      <c r="F39" s="375"/>
      <c r="G39" s="364"/>
      <c r="H39" s="372" t="inlineStr">
        <is>
          <t>LEDACC_RMP</t>
        </is>
      </c>
      <c r="I39" s="372" t="inlineStr">
        <is>
          <t>LEDACC_RMP</t>
        </is>
      </c>
    </row>
    <row r="40" spans="1:9" ht="17.5" thickBot="1" x14ac:dyDescent="0.45">
      <c r="A40" s="365" t="inlineStr">
        <is>
          <t>5D000-5DFFF</t>
        </is>
      </c>
      <c r="B40" s="370"/>
      <c r="C40" s="369"/>
      <c r="D40" s="404"/>
      <c r="E40" s="369"/>
      <c r="F40" s="369"/>
      <c r="G40" s="364"/>
      <c r="H40" s="372" t="inlineStr">
        <is>
          <t>LEDACC_STF</t>
        </is>
      </c>
      <c r="I40" s="372" t="inlineStr">
        <is>
          <t>LEDACC_STF</t>
        </is>
      </c>
    </row>
    <row r="41" spans="1:9" ht="17.5" thickBot="1" x14ac:dyDescent="0.45">
      <c r="A41" s="365" t="inlineStr">
        <is>
          <t>5E000-77FFF</t>
        </is>
      </c>
      <c r="B41" s="370"/>
      <c r="C41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D41" s="405"/>
      <c r="E41" s="369"/>
      <c r="F41" s="369"/>
      <c r="G41" s="364"/>
      <c r="H41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I41" s="373"/>
    </row>
    <row r="42" spans="1:9" ht="17.5" thickBot="1" x14ac:dyDescent="0.45">
      <c r="A42" s="365" t="inlineStr">
        <is>
          <t>78000-78FFF</t>
        </is>
      </c>
      <c r="B42" s="370"/>
      <c r="C42" s="369"/>
      <c r="D42" s="368" t="inlineStr">
        <is>
          <t>TGAM* - BK</t>
        </is>
      </c>
      <c r="E42" s="369"/>
      <c r="F42" s="363" t="inlineStr">
        <is>
          <t>BKL_LED+MCU</t>
        </is>
      </c>
      <c r="G42" s="376" t="inlineStr">
        <is>
          <t>BKL_LED+MCU</t>
        </is>
      </c>
      <c r="H42" s="369"/>
      <c r="I42" s="369"/>
    </row>
    <row r="43" spans="1:9" ht="17.5" thickBot="1" x14ac:dyDescent="0.45">
      <c r="A43" s="365" t="inlineStr">
        <is>
          <t>79000-79FFF</t>
        </is>
      </c>
      <c r="B43" s="370"/>
      <c r="C43" s="369"/>
      <c r="D43" s="368" t="inlineStr">
        <is>
          <t>TLUT* - BK</t>
        </is>
      </c>
      <c r="E43" s="369"/>
      <c r="F43" s="369"/>
      <c r="G43" s="364"/>
      <c r="H43" s="369"/>
      <c r="I43" s="369"/>
    </row>
    <row r="44" spans="1:9" ht="17.5" thickBot="1" x14ac:dyDescent="0.45">
      <c r="A44" s="365" t="inlineStr">
        <is>
          <t>7A000-7AFFF</t>
        </is>
      </c>
      <c r="B44" s="370"/>
      <c r="C44" s="369"/>
      <c r="D44" s="368" t="inlineStr">
        <is>
          <t>VCOM*+VOLT* - BK</t>
        </is>
      </c>
      <c r="E44" s="369"/>
      <c r="F44" s="369"/>
      <c r="G44" s="364"/>
      <c r="H44" s="369"/>
      <c r="I44" s="369"/>
    </row>
    <row r="45" spans="1:9" ht="17.5" thickBot="1" x14ac:dyDescent="0.45">
      <c r="A45" s="365" t="inlineStr">
        <is>
          <t>7B000-7BFFF</t>
        </is>
      </c>
      <c r="B45" s="370"/>
      <c r="C45" s="369"/>
      <c r="D45" s="368" t="inlineStr">
        <is>
          <t>CMD - BK</t>
        </is>
      </c>
      <c r="E45" s="369"/>
      <c r="F45" s="369"/>
      <c r="G45" s="364"/>
      <c r="H45" s="369"/>
      <c r="I45" s="369"/>
    </row>
    <row r="46" spans="1:9" ht="17.5" thickBot="1" x14ac:dyDescent="0.45">
      <c r="A46" s="365" t="inlineStr">
        <is>
          <t>7C000-7CFFF</t>
        </is>
      </c>
      <c r="B46" s="370"/>
      <c r="C46" s="369"/>
      <c r="D46" s="368" t="inlineStr">
        <is>
          <t>CSID+eDP - BK</t>
        </is>
      </c>
      <c r="E46" s="369"/>
      <c r="F46" s="369"/>
      <c r="G46" s="364"/>
      <c r="H46" s="369"/>
      <c r="I46" s="369"/>
    </row>
    <row r="47" spans="1:9" ht="17.5" thickBot="1" x14ac:dyDescent="0.45">
      <c r="A47" s="365" t="inlineStr">
        <is>
          <t>7D000-7DFFF</t>
        </is>
      </c>
      <c r="B47" s="370"/>
      <c r="C47" s="369"/>
      <c r="D47" s="368" t="inlineStr">
        <is>
          <t>OSD* - BK</t>
        </is>
      </c>
      <c r="E47" s="369"/>
      <c r="F47" s="369"/>
      <c r="G47" s="364"/>
      <c r="H47" s="369"/>
      <c r="I47" s="369"/>
    </row>
    <row r="48" spans="1:9" ht="17.5" thickBot="1" x14ac:dyDescent="0.45">
      <c r="A48" s="365" t="inlineStr">
        <is>
          <t>7E000-7EFFF</t>
        </is>
      </c>
      <c r="B48" s="370"/>
      <c r="C48" s="369"/>
      <c r="D48" s="376" t="inlineStr">
        <is>
          <t>BKL_LED - BK</t>
        </is>
      </c>
      <c r="E48" s="369"/>
      <c r="F48" s="369"/>
      <c r="G48" s="364"/>
      <c r="H48" s="369"/>
      <c r="I48" s="369"/>
    </row>
    <row r="49" spans="1:9" ht="17.5" thickBot="1" x14ac:dyDescent="0.45">
      <c r="A49" s="365" t="inlineStr">
        <is>
          <t>7F000-7FFFF</t>
        </is>
      </c>
      <c r="B49" s="370"/>
      <c r="C49" s="369"/>
      <c r="D49" s="376" t="inlineStr">
        <is>
          <t>BKL_MCU - BK</t>
        </is>
      </c>
      <c r="E49" s="369"/>
      <c r="F49" s="369"/>
      <c r="G49" s="364"/>
      <c r="H49" s="369"/>
      <c r="I49" s="369"/>
    </row>
    <row r="50" spans="1:9" ht="17.5" thickBot="1" x14ac:dyDescent="0.45">
      <c r="A50" s="377" t="inlineStr">
        <is>
          <t>80000-80FFF</t>
        </is>
      </c>
      <c r="B50" s="370"/>
      <c r="C50" s="407"/>
      <c r="D50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E50" s="378" t="inlineStr">
        <is>
          <t>TGAM* - BK</t>
        </is>
      </c>
      <c r="F50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G50" s="368" t="inlineStr">
        <is>
          <t>TGAM* - BK</t>
        </is>
      </c>
      <c r="H50" s="410"/>
      <c r="I50" s="368" t="inlineStr">
        <is>
          <t>TGAM* - BK</t>
        </is>
      </c>
    </row>
    <row r="51" spans="1:9" ht="17.5" thickBot="1" x14ac:dyDescent="0.45">
      <c r="A51" s="377" t="inlineStr">
        <is>
          <t>81000-81FFF</t>
        </is>
      </c>
      <c r="B51" s="370"/>
      <c r="C51" s="408"/>
      <c r="D51" s="379"/>
      <c r="E51" s="378" t="inlineStr">
        <is>
          <t>TLUT* - BK</t>
        </is>
      </c>
      <c r="F51" s="370"/>
      <c r="G51" s="368" t="inlineStr">
        <is>
          <t>TLUT* - BK</t>
        </is>
      </c>
      <c r="H51" s="406"/>
      <c r="I51" s="368" t="inlineStr">
        <is>
          <t>TLUT* - BK</t>
        </is>
      </c>
    </row>
    <row r="52" spans="1:9" ht="17.5" thickBot="1" x14ac:dyDescent="0.45">
      <c r="A52" s="377" t="inlineStr">
        <is>
          <t>82000-82FFF</t>
        </is>
      </c>
      <c r="B52" s="370"/>
      <c r="C52" s="408"/>
      <c r="D52" s="379"/>
      <c r="E52" s="378" t="inlineStr">
        <is>
          <t>VCOM* - BK</t>
        </is>
      </c>
      <c r="F52" s="370"/>
      <c r="G52" s="368" t="inlineStr">
        <is>
          <t>VCOM* - BK</t>
        </is>
      </c>
      <c r="H52" s="406"/>
      <c r="I52" s="368" t="inlineStr">
        <is>
          <t>VCOM* - BK</t>
        </is>
      </c>
    </row>
    <row r="53" spans="1:9" ht="17.5" thickBot="1" x14ac:dyDescent="0.45">
      <c r="A53" s="377" t="inlineStr">
        <is>
          <t>83000-83FFF</t>
        </is>
      </c>
      <c r="B53" s="370"/>
      <c r="C53" s="408"/>
      <c r="D53" s="379"/>
      <c r="E53" s="378" t="inlineStr">
        <is>
          <t>CSID* - BK</t>
        </is>
      </c>
      <c r="F53" s="370"/>
      <c r="G53" s="368" t="inlineStr">
        <is>
          <t>CSID - BK</t>
        </is>
      </c>
      <c r="H53" s="406"/>
      <c r="I53" s="368" t="inlineStr">
        <is>
          <t>CSID - BK</t>
        </is>
      </c>
    </row>
    <row r="54" spans="1:9" ht="17.5" thickBot="1" x14ac:dyDescent="0.45">
      <c r="A54" s="377" t="inlineStr">
        <is>
          <t>84000-84FFF</t>
        </is>
      </c>
      <c r="B54" s="370"/>
      <c r="C54" s="408"/>
      <c r="D54" s="379"/>
      <c r="E54" s="378" t="inlineStr">
        <is>
          <t>CMD - BK</t>
        </is>
      </c>
      <c r="F54" s="370"/>
      <c r="G54" s="368" t="inlineStr">
        <is>
          <t>CMD - BK</t>
        </is>
      </c>
      <c r="H54" s="406"/>
      <c r="I54" s="368" t="inlineStr">
        <is>
          <t>CMD - BK</t>
        </is>
      </c>
    </row>
    <row r="55" spans="1:9" ht="17.5" thickBot="1" x14ac:dyDescent="0.45">
      <c r="A55" s="377" t="inlineStr">
        <is>
          <t>85000-86FFF</t>
        </is>
      </c>
      <c r="B55" s="370"/>
      <c r="C55" s="408"/>
      <c r="D55" s="379"/>
      <c r="E55" s="378" t="inlineStr">
        <is>
          <t>eDP - BK</t>
        </is>
      </c>
      <c r="F55" s="370"/>
      <c r="G55" s="368" t="inlineStr">
        <is>
          <t>eDP - BK</t>
        </is>
      </c>
      <c r="H55" s="406"/>
      <c r="I55" s="368" t="inlineStr">
        <is>
          <t>eDP - BK</t>
        </is>
      </c>
    </row>
    <row r="56" spans="1:9" ht="17.5" thickBot="1" x14ac:dyDescent="0.45">
      <c r="A56" s="377" t="inlineStr">
        <is>
          <t>87000-87FFF</t>
        </is>
      </c>
      <c r="B56" s="370"/>
      <c r="C56" s="408"/>
      <c r="D56" s="379"/>
      <c r="E56" s="378" t="inlineStr">
        <is>
          <t>OSD* - BK</t>
        </is>
      </c>
      <c r="F56" s="370"/>
      <c r="G56" s="368" t="inlineStr">
        <is>
          <t>OSD* - BK</t>
        </is>
      </c>
      <c r="H56" s="406"/>
      <c r="I56" s="368" t="inlineStr">
        <is>
          <t>OSD* - BK</t>
        </is>
      </c>
    </row>
    <row r="57" spans="1:9" ht="17.5" thickBot="1" x14ac:dyDescent="0.45">
      <c r="A57" s="377" t="inlineStr">
        <is>
          <t>88000-89FFF</t>
        </is>
      </c>
      <c r="B57" s="370"/>
      <c r="C57" s="408"/>
      <c r="D57" s="379"/>
      <c r="E57" s="378" t="inlineStr">
        <is>
          <t>VOLT* - BK</t>
        </is>
      </c>
      <c r="F57" s="370"/>
      <c r="G57" s="368" t="inlineStr">
        <is>
          <t>VOLT* - BK</t>
        </is>
      </c>
      <c r="H57" s="406"/>
      <c r="I57" s="368" t="inlineStr">
        <is>
          <t>VOLT* - BK</t>
        </is>
      </c>
    </row>
    <row r="58" spans="1:9" ht="17.5" thickBot="1" x14ac:dyDescent="0.45">
      <c r="A58" s="377" t="inlineStr">
        <is>
          <t>8A000-B7FFF</t>
        </is>
      </c>
      <c r="B58" s="370"/>
      <c r="C58" s="408"/>
      <c r="D58" s="379"/>
      <c r="E58" s="362" t="inlineStr">
        <is>
          <t>TP FW - BK</t>
        </is>
      </c>
      <c r="F58" s="370"/>
      <c r="G58" s="362" t="inlineStr">
        <is>
          <t>TP FW - BK</t>
        </is>
      </c>
      <c r="H58" s="406"/>
      <c r="I58" s="362" t="inlineStr">
        <is>
          <t>TP FW - BK</t>
        </is>
      </c>
    </row>
    <row r="59" spans="1:9" ht="17.5" thickBot="1" x14ac:dyDescent="0.45">
      <c r="A59" s="377" t="inlineStr">
        <is>
          <t>B8000-BFFF</t>
        </is>
      </c>
      <c r="B59" s="370"/>
      <c r="C59" s="408"/>
      <c r="D59" s="379"/>
      <c r="E59" s="356"/>
      <c r="F59" s="370"/>
      <c r="G59" s="369"/>
      <c r="H59" s="406"/>
      <c r="I59" s="369"/>
    </row>
    <row r="60" spans="1:9" ht="17.5" thickBot="1" x14ac:dyDescent="0.45">
      <c r="A60" s="377" t="inlineStr">
        <is>
          <t>C0000-C0FFF</t>
        </is>
      </c>
      <c r="B60" s="370"/>
      <c r="C60" s="408"/>
      <c r="D60" s="379"/>
      <c r="E60" s="380" t="inlineStr">
        <is>
          <t>BKL_LDC *- BK</t>
        </is>
      </c>
      <c r="F60" s="370"/>
      <c r="G60" s="369"/>
      <c r="H60" s="406"/>
      <c r="I60" s="376" t="inlineStr">
        <is>
          <t>BKL_LDC* - BK</t>
        </is>
      </c>
    </row>
    <row r="61" spans="1:9" ht="17.5" thickBot="1" x14ac:dyDescent="0.45">
      <c r="A61" s="377" t="inlineStr">
        <is>
          <t>C1000-C1FFF</t>
        </is>
      </c>
      <c r="B61" s="370"/>
      <c r="C61" s="408"/>
      <c r="D61" s="379"/>
      <c r="E61" s="381" t="inlineStr">
        <is>
          <t>BKL_LED - BK</t>
        </is>
      </c>
      <c r="F61" s="370"/>
      <c r="G61" s="356"/>
      <c r="H61" s="406"/>
      <c r="I61" s="376" t="inlineStr">
        <is>
          <t>BKL_LED - BK</t>
        </is>
      </c>
    </row>
    <row r="62" spans="1:9" ht="17.5" thickBot="1" x14ac:dyDescent="0.45">
      <c r="A62" s="377" t="inlineStr">
        <is>
          <t>C2000-C2FFF</t>
        </is>
      </c>
      <c r="B62" s="370"/>
      <c r="C62" s="408"/>
      <c r="D62" s="379"/>
      <c r="E62" s="381" t="inlineStr">
        <is>
          <t>BKL_LEDACC - BK</t>
        </is>
      </c>
      <c r="F62" s="370"/>
      <c r="G62" s="382" t="inlineStr">
        <is>
          <t>BKL_LED - BK</t>
        </is>
      </c>
      <c r="H62" s="406"/>
      <c r="I62" s="376" t="inlineStr">
        <is>
          <t>BKL_LEDACC - BK</t>
        </is>
      </c>
    </row>
    <row r="63" spans="1:9" ht="17.5" thickBot="1" x14ac:dyDescent="0.45">
      <c r="A63" s="377" t="inlineStr">
        <is>
          <t>C3000-C3FFF</t>
        </is>
      </c>
      <c r="B63" s="370"/>
      <c r="C63" s="408"/>
      <c r="D63" s="379"/>
      <c r="E63" s="381" t="inlineStr">
        <is>
          <t>BKL_MCU - BK</t>
        </is>
      </c>
      <c r="F63" s="370"/>
      <c r="G63" s="376" t="inlineStr">
        <is>
          <t>BKL_MCU - BK</t>
        </is>
      </c>
      <c r="H63" s="406"/>
      <c r="I63" s="376" t="inlineStr">
        <is>
          <t>BKL_MCU - BK</t>
        </is>
      </c>
    </row>
    <row r="64" spans="1:9" ht="17.5" thickBot="1" x14ac:dyDescent="0.45">
      <c r="A64" s="377" t="inlineStr">
        <is>
          <t>C4000-C7FFF</t>
        </is>
      </c>
      <c r="B64" s="370"/>
      <c r="C64" s="408"/>
      <c r="D64" s="379"/>
      <c r="E64" s="381" t="inlineStr">
        <is>
          <t>DRAM - BK</t>
        </is>
      </c>
      <c r="F64" s="370"/>
      <c r="G64" s="412" t="inlineStr">
        <is>
          <t>DRAM+PRAM - BK</t>
        </is>
      </c>
      <c r="H64" s="406"/>
      <c r="I64" s="376" t="inlineStr">
        <is>
          <t>DRAM - BK</t>
        </is>
      </c>
    </row>
    <row r="65" spans="1:9" ht="17.5" thickBot="1" x14ac:dyDescent="0.45">
      <c r="A65" s="377" t="inlineStr">
        <is>
          <t>C8000-C8FFF</t>
        </is>
      </c>
      <c r="B65" s="370"/>
      <c r="C65" s="408"/>
      <c r="D65" s="379"/>
      <c r="E65" s="381" t="inlineStr">
        <is>
          <t>HDGN - BK</t>
        </is>
      </c>
      <c r="F65" s="370"/>
      <c r="G65" s="413"/>
      <c r="H65" s="406"/>
      <c r="I65" s="376" t="inlineStr">
        <is>
          <t>HDGN - BK</t>
        </is>
      </c>
    </row>
    <row r="66" spans="1:9" ht="17.5" thickBot="1" x14ac:dyDescent="0.45">
      <c r="A66" s="377" t="inlineStr">
        <is>
          <t>C9000-C9FFF</t>
        </is>
      </c>
      <c r="B66" s="370"/>
      <c r="C66" s="408"/>
      <c r="D66" s="379"/>
      <c r="E66" s="381" t="inlineStr">
        <is>
          <t>LEDACC_DMY - BK</t>
        </is>
      </c>
      <c r="F66" s="370"/>
      <c r="G66" s="413"/>
      <c r="H66" s="406"/>
      <c r="I66" s="376" t="inlineStr">
        <is>
          <t>LEDACC_DMY - BK</t>
        </is>
      </c>
    </row>
    <row r="67" spans="1:9" ht="17.5" thickBot="1" x14ac:dyDescent="0.45">
      <c r="A67" s="377" t="inlineStr">
        <is>
          <t>CA000-CAFFF</t>
        </is>
      </c>
      <c r="B67" s="370"/>
      <c r="C67" s="408"/>
      <c r="D67" s="379"/>
      <c r="E67" s="381" t="inlineStr">
        <is>
          <t>LEDACC_HDR - BK</t>
        </is>
      </c>
      <c r="F67" s="370"/>
      <c r="G67" s="413"/>
      <c r="H67" s="406"/>
      <c r="I67" s="376" t="inlineStr">
        <is>
          <t>LEDACC_HDR - BK</t>
        </is>
      </c>
    </row>
    <row r="68" spans="1:9" ht="17.5" thickBot="1" x14ac:dyDescent="0.45">
      <c r="A68" s="377" t="inlineStr">
        <is>
          <t>CB000-CCFFF</t>
        </is>
      </c>
      <c r="B68" s="370"/>
      <c r="C68" s="408"/>
      <c r="D68" s="379"/>
      <c r="E68" s="381" t="inlineStr">
        <is>
          <t>LEDACC_RMP - BK</t>
        </is>
      </c>
      <c r="F68" s="370"/>
      <c r="G68" s="413"/>
      <c r="H68" s="406"/>
      <c r="I68" s="376" t="inlineStr">
        <is>
          <t>LEDACC_RMP - BK</t>
        </is>
      </c>
    </row>
    <row r="69" spans="1:9" ht="17.5" thickBot="1" x14ac:dyDescent="0.45">
      <c r="A69" s="377" t="inlineStr">
        <is>
          <t>CD000-CFFFF</t>
        </is>
      </c>
      <c r="B69" s="370"/>
      <c r="C69" s="408"/>
      <c r="D69" s="379"/>
      <c r="E69" s="381" t="inlineStr">
        <is>
          <t>LEDACC_STF - BK</t>
        </is>
      </c>
      <c r="F69" s="370"/>
      <c r="G69" s="413"/>
      <c r="H69" s="406"/>
      <c r="I69" s="376" t="inlineStr">
        <is>
          <t>LEDACC_STF - BK</t>
        </is>
      </c>
    </row>
    <row r="70" spans="1:9" ht="17.5" thickBot="1" x14ac:dyDescent="0.45">
      <c r="A70" s="377" t="inlineStr">
        <is>
          <t>D0000-D7FFF</t>
        </is>
      </c>
      <c r="B70" s="370"/>
      <c r="C70" s="408"/>
      <c r="D70" s="379"/>
      <c r="E70" s="381" t="inlineStr">
        <is>
          <t>PRAM - BK</t>
        </is>
      </c>
      <c r="F70" s="370"/>
      <c r="G70" s="413"/>
      <c r="H70" s="406"/>
      <c r="I70" s="376" t="inlineStr">
        <is>
          <t>PRAM - BK</t>
        </is>
      </c>
    </row>
    <row r="71" spans="1:9" ht="17.5" thickBot="1" x14ac:dyDescent="0.45">
      <c r="A71" s="377" t="inlineStr">
        <is>
          <t>DF000-E0FFF</t>
        </is>
      </c>
      <c r="B71" s="370"/>
      <c r="C71" s="408"/>
      <c r="D71" s="379"/>
      <c r="E71" s="381" t="inlineStr">
        <is>
          <t>LSGN*</t>
        </is>
      </c>
      <c r="F71" s="370"/>
      <c r="G71" s="414"/>
      <c r="H71" s="406"/>
      <c r="I71" s="383" t="inlineStr">
        <is>
          <t>LSGN*</t>
        </is>
      </c>
    </row>
    <row r="72" spans="1:9" ht="17.5" thickBot="1" x14ac:dyDescent="0.45">
      <c r="A72" s="377" t="inlineStr">
        <is>
          <t>E1000-FFFFF</t>
        </is>
      </c>
      <c r="B72" s="384"/>
      <c r="C72" s="409"/>
      <c r="D72" s="369"/>
      <c r="E72" s="369"/>
      <c r="F72" s="384"/>
      <c r="G72" s="369"/>
      <c r="H72" s="411"/>
      <c r="I72" s="369"/>
    </row>
    <row r="73" spans="1:9" ht="17.5" thickBot="1" x14ac:dyDescent="0.45">
      <c r="A73" s="385"/>
      <c r="B73" s="364"/>
      <c r="C73" s="364"/>
      <c r="D73" s="364"/>
      <c r="E73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F73" s="364"/>
      <c r="G73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  <c r="H73" s="364"/>
      <c r="I73" s="366" t="inlineStr">
        <is>
          <r>
            <t xml:space="preserve">OSD* </t>
          </r>
          <r>
            <rPr>
              <sz val="12"/>
              <color rgb="FF000000"/>
              <rFont val="微軟正黑體"/>
              <family val="2"/>
              <charset val="136"/>
            </rPr>
            <t>圖檔置放起始位置</t>
          </r>
        </is>
      </c>
    </row>
  </sheetData>
  <mergeCells count="25">
    <mergeCell ref="C28:C33"/>
    <mergeCell ref="E28:E33"/>
    <mergeCell ref="H29:H35"/>
    <mergeCell ref="I29:I35"/>
    <mergeCell ref="D33:D41"/>
    <mergeCell ref="C50:C72"/>
    <mergeCell ref="H50:H72"/>
    <mergeCell ref="G64:G71"/>
    <mergeCell ref="C16:C23"/>
    <mergeCell ref="E16:E23"/>
    <mergeCell ref="F16:F32"/>
    <mergeCell ref="G16:G23"/>
    <mergeCell ref="H16:H23"/>
    <mergeCell ref="I16:I23"/>
    <mergeCell ref="D25:D32"/>
    <mergeCell ref="G25:G35"/>
    <mergeCell ref="H25:H26"/>
    <mergeCell ref="I25:I26"/>
    <mergeCell ref="B2:E2"/>
    <mergeCell ref="F2:I2"/>
    <mergeCell ref="A3:A5"/>
    <mergeCell ref="B5:E5"/>
    <mergeCell ref="F5:I5"/>
    <mergeCell ref="B7:B14"/>
    <mergeCell ref="D7:D14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324A-4B89-4623-AE20-1A328AD03676}">
  <dimension ref="A1:I36"/>
  <sheetViews>
    <sheetView showGridLines="0" tabSelected="1" zoomScale="80" zoomScaleNormal="80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sqref="A1:I1"/>
    </sheetView>
  </sheetViews>
  <sheetFormatPr defaultRowHeight="15"/>
  <cols>
    <col min="1" max="1" width="25.7109375" customWidth="1"/>
    <col min="2" max="2" width="10.7109375" customWidth="1"/>
    <col min="3" max="5" width="20.7109375" customWidth="1"/>
    <col min="6" max="6" width="26.7109375" customWidth="1"/>
    <col min="7" max="9" width="21.7109375" customWidth="1"/>
  </cols>
  <sheetData>
    <row r="1" spans="1:9" ht="27.95" customHeight="1">
      <c r="A1" s="353" t="s">
        <v>675</v>
      </c>
      <c r="B1" s="353"/>
      <c r="C1" s="353"/>
      <c r="D1" s="353"/>
      <c r="E1" s="353"/>
      <c r="F1" s="353"/>
      <c r="G1" s="353"/>
      <c r="H1" s="353"/>
      <c r="I1" s="353"/>
    </row>
    <row r="2" spans="1:9" ht="24" customHeight="1">
      <c r="A2" s="201" t="s">
        <v>676</v>
      </c>
      <c r="B2" s="201" t="s">
        <v>762</v>
      </c>
      <c r="C2" s="201"/>
      <c r="D2" s="201" t="s">
        <v>677</v>
      </c>
      <c r="E2" s="201" t="s">
        <v>678</v>
      </c>
      <c r="F2" s="201"/>
      <c r="G2" s="201" t="s">
        <v>763</v>
      </c>
      <c r="H2" s="201" t="s">
        <v>764</v>
      </c>
      <c r="I2" s="201"/>
    </row>
    <row r="3" spans="1:9" ht="9.9499999999999993" customHeight="1">
      <c r="A3" s="200"/>
      <c r="B3" s="200"/>
      <c r="C3" s="200"/>
      <c r="D3" s="200"/>
      <c r="E3" s="200"/>
      <c r="F3" s="200"/>
      <c r="G3" s="200"/>
      <c r="H3" s="200"/>
      <c r="I3" s="200"/>
    </row>
    <row r="4" spans="1:9" ht="24" customHeight="1">
      <c r="A4" s="202" t="s">
        <v>190</v>
      </c>
      <c r="B4" s="202" t="s">
        <v>679</v>
      </c>
      <c r="C4" s="203" t="s">
        <v>797</v>
      </c>
      <c r="D4" s="203" t="s">
        <v>798</v>
      </c>
      <c r="E4" s="203" t="s">
        <v>798</v>
      </c>
      <c r="F4" s="203" t="s">
        <v>680</v>
      </c>
      <c r="G4" s="203" t="s">
        <v>681</v>
      </c>
      <c r="H4" s="203" t="s">
        <v>682</v>
      </c>
      <c r="I4" s="203" t="s">
        <v>683</v>
      </c>
    </row>
    <row r="5" spans="1:9" ht="24" customHeight="1">
      <c r="A5" s="202"/>
      <c r="B5" s="202"/>
      <c r="C5" s="204" t="s">
        <v>684</v>
      </c>
      <c r="D5" s="204" t="s">
        <v>685</v>
      </c>
      <c r="E5" s="204" t="s">
        <v>686</v>
      </c>
      <c r="F5" s="204" t="s">
        <v>684</v>
      </c>
      <c r="G5" s="204" t="s">
        <v>684</v>
      </c>
      <c r="H5" s="204" t="s">
        <v>684</v>
      </c>
      <c r="I5" s="204" t="s">
        <v>684</v>
      </c>
    </row>
    <row r="6" spans="1:9" ht="24" customHeight="1">
      <c r="A6" s="202"/>
      <c r="B6" s="202"/>
      <c r="C6" s="205" t="s">
        <v>687</v>
      </c>
      <c r="D6" s="205" t="s">
        <v>688</v>
      </c>
      <c r="E6" s="205" t="s">
        <v>689</v>
      </c>
      <c r="F6" s="205" t="s">
        <v>690</v>
      </c>
      <c r="G6" s="205" t="s">
        <v>691</v>
      </c>
      <c r="H6" s="205" t="s">
        <v>692</v>
      </c>
      <c r="I6" s="205" t="s">
        <v>693</v>
      </c>
    </row>
    <row r="7" spans="1:9">
      <c r="A7" s="354" t="s">
        <v>696</v>
      </c>
      <c r="B7" s="206" t="s">
        <v>694</v>
      </c>
      <c r="C7" s="206" t="s">
        <v>697</v>
      </c>
      <c r="D7" s="206" t="s">
        <v>697</v>
      </c>
      <c r="E7" s="206" t="s">
        <v>697</v>
      </c>
      <c r="F7" s="206" t="s">
        <v>698</v>
      </c>
      <c r="G7" s="206" t="s">
        <v>699</v>
      </c>
      <c r="H7" s="206" t="s">
        <v>700</v>
      </c>
      <c r="I7" s="206" t="s">
        <v>700</v>
      </c>
    </row>
    <row r="8" spans="1:9">
      <c r="A8" s="354"/>
      <c r="B8" s="206" t="s">
        <v>695</v>
      </c>
      <c r="C8" s="206" t="s">
        <v>702</v>
      </c>
      <c r="D8" s="206" t="s">
        <v>701</v>
      </c>
      <c r="E8" s="206" t="s">
        <v>701</v>
      </c>
      <c r="F8" s="206" t="s">
        <v>703</v>
      </c>
      <c r="G8" s="206" t="s">
        <v>704</v>
      </c>
      <c r="H8" s="206" t="s">
        <v>705</v>
      </c>
      <c r="I8" s="206" t="s">
        <v>705</v>
      </c>
    </row>
    <row r="9" spans="1:9" ht="27">
      <c r="A9" s="352" t="s">
        <v>765</v>
      </c>
      <c r="B9" s="207" t="s">
        <v>694</v>
      </c>
      <c r="C9" s="207" t="s">
        <v>766</v>
      </c>
      <c r="D9" s="207" t="s">
        <v>766</v>
      </c>
      <c r="E9" s="207" t="s">
        <v>766</v>
      </c>
      <c r="F9" s="207" t="s">
        <v>768</v>
      </c>
      <c r="G9" s="207" t="s">
        <v>770</v>
      </c>
      <c r="H9" s="207" t="s">
        <v>772</v>
      </c>
      <c r="I9" s="207" t="s">
        <v>772</v>
      </c>
    </row>
    <row r="10" spans="1:9" ht="27">
      <c r="A10" s="352"/>
      <c r="B10" s="207" t="s">
        <v>695</v>
      </c>
      <c r="C10" s="207" t="s">
        <v>767</v>
      </c>
      <c r="D10" s="207" t="s">
        <v>767</v>
      </c>
      <c r="E10" s="207" t="s">
        <v>767</v>
      </c>
      <c r="F10" s="207" t="s">
        <v>769</v>
      </c>
      <c r="G10" s="207" t="s">
        <v>771</v>
      </c>
      <c r="H10" s="207" t="s">
        <v>773</v>
      </c>
      <c r="I10" s="207" t="s">
        <v>773</v>
      </c>
    </row>
    <row r="11" spans="1:9" ht="27">
      <c r="A11" s="354" t="s">
        <v>774</v>
      </c>
      <c r="B11" s="206" t="s">
        <v>694</v>
      </c>
      <c r="C11" s="206" t="s">
        <v>775</v>
      </c>
      <c r="D11" s="206" t="s">
        <v>777</v>
      </c>
      <c r="E11" s="206" t="s">
        <v>777</v>
      </c>
      <c r="F11" s="206" t="s">
        <v>778</v>
      </c>
      <c r="G11" s="206" t="s">
        <v>780</v>
      </c>
      <c r="H11" s="206" t="s">
        <v>782</v>
      </c>
      <c r="I11" s="206" t="s">
        <v>782</v>
      </c>
    </row>
    <row r="12" spans="1:9" ht="27">
      <c r="A12" s="354"/>
      <c r="B12" s="206" t="s">
        <v>695</v>
      </c>
      <c r="C12" s="206" t="s">
        <v>776</v>
      </c>
      <c r="D12" s="206" t="s">
        <v>776</v>
      </c>
      <c r="E12" s="206" t="s">
        <v>776</v>
      </c>
      <c r="F12" s="206" t="s">
        <v>779</v>
      </c>
      <c r="G12" s="206" t="s">
        <v>781</v>
      </c>
      <c r="H12" s="206" t="s">
        <v>783</v>
      </c>
      <c r="I12" s="206" t="s">
        <v>783</v>
      </c>
    </row>
    <row r="13" spans="1:9" ht="40.5">
      <c r="A13" s="352" t="s">
        <v>732</v>
      </c>
      <c r="B13" s="207" t="s">
        <v>694</v>
      </c>
      <c r="C13" s="207" t="s">
        <v>733</v>
      </c>
      <c r="D13" s="207" t="s">
        <v>733</v>
      </c>
      <c r="E13" s="207" t="s">
        <v>733</v>
      </c>
      <c r="F13" s="207" t="s">
        <v>784</v>
      </c>
      <c r="G13" s="207" t="s">
        <v>734</v>
      </c>
      <c r="H13" s="207" t="s">
        <v>735</v>
      </c>
      <c r="I13" s="207" t="s">
        <v>735</v>
      </c>
    </row>
    <row r="14" spans="1:9" ht="40.5">
      <c r="A14" s="352"/>
      <c r="B14" s="207" t="s">
        <v>695</v>
      </c>
      <c r="C14" s="207" t="s">
        <v>736</v>
      </c>
      <c r="D14" s="207" t="s">
        <v>737</v>
      </c>
      <c r="E14" s="207" t="s">
        <v>737</v>
      </c>
      <c r="F14" s="207" t="s">
        <v>785</v>
      </c>
      <c r="G14" s="207" t="s">
        <v>738</v>
      </c>
      <c r="H14" s="207" t="s">
        <v>739</v>
      </c>
      <c r="I14" s="207" t="s">
        <v>739</v>
      </c>
    </row>
    <row r="15" spans="1:9" ht="40.5">
      <c r="A15" s="349" t="s">
        <v>740</v>
      </c>
      <c r="B15" s="206" t="s">
        <v>694</v>
      </c>
      <c r="C15" s="206" t="s">
        <v>741</v>
      </c>
      <c r="D15" s="206" t="s">
        <v>742</v>
      </c>
      <c r="E15" s="206" t="s">
        <v>742</v>
      </c>
      <c r="F15" s="206" t="s">
        <v>786</v>
      </c>
      <c r="G15" s="206"/>
      <c r="H15" s="206"/>
      <c r="I15" s="206"/>
    </row>
    <row r="16" spans="1:9" ht="40.5">
      <c r="A16" s="349"/>
      <c r="B16" s="206" t="s">
        <v>695</v>
      </c>
      <c r="C16" s="206" t="s">
        <v>743</v>
      </c>
      <c r="D16" s="206" t="s">
        <v>744</v>
      </c>
      <c r="E16" s="206" t="s">
        <v>744</v>
      </c>
      <c r="F16" s="206" t="s">
        <v>787</v>
      </c>
      <c r="G16" s="206"/>
      <c r="H16" s="206"/>
      <c r="I16" s="206"/>
    </row>
    <row r="17" spans="1:9" ht="40.5">
      <c r="A17" s="352" t="s">
        <v>706</v>
      </c>
      <c r="B17" s="207" t="s">
        <v>694</v>
      </c>
      <c r="C17" s="207" t="s">
        <v>707</v>
      </c>
      <c r="D17" s="207" t="s">
        <v>708</v>
      </c>
      <c r="E17" s="207" t="s">
        <v>708</v>
      </c>
      <c r="F17" s="207" t="s">
        <v>788</v>
      </c>
      <c r="G17" s="207" t="s">
        <v>709</v>
      </c>
      <c r="H17" s="207" t="s">
        <v>710</v>
      </c>
      <c r="I17" s="207" t="s">
        <v>710</v>
      </c>
    </row>
    <row r="18" spans="1:9" ht="40.5">
      <c r="A18" s="352"/>
      <c r="B18" s="207" t="s">
        <v>695</v>
      </c>
      <c r="C18" s="207" t="s">
        <v>711</v>
      </c>
      <c r="D18" s="207" t="s">
        <v>712</v>
      </c>
      <c r="E18" s="207" t="s">
        <v>712</v>
      </c>
      <c r="F18" s="207" t="s">
        <v>789</v>
      </c>
      <c r="G18" s="207" t="s">
        <v>713</v>
      </c>
      <c r="H18" s="207" t="s">
        <v>714</v>
      </c>
      <c r="I18" s="207" t="s">
        <v>714</v>
      </c>
    </row>
    <row r="19" spans="1:9" ht="40.5">
      <c r="A19" s="349" t="s">
        <v>715</v>
      </c>
      <c r="B19" s="206" t="s">
        <v>694</v>
      </c>
      <c r="C19" s="206" t="s">
        <v>716</v>
      </c>
      <c r="D19" s="206" t="s">
        <v>717</v>
      </c>
      <c r="E19" s="206" t="s">
        <v>717</v>
      </c>
      <c r="F19" s="206" t="s">
        <v>790</v>
      </c>
      <c r="G19" s="206" t="s">
        <v>718</v>
      </c>
      <c r="H19" s="206" t="s">
        <v>719</v>
      </c>
      <c r="I19" s="206" t="s">
        <v>719</v>
      </c>
    </row>
    <row r="20" spans="1:9" ht="40.5">
      <c r="A20" s="349"/>
      <c r="B20" s="206" t="s">
        <v>695</v>
      </c>
      <c r="C20" s="206" t="s">
        <v>720</v>
      </c>
      <c r="D20" s="206" t="s">
        <v>721</v>
      </c>
      <c r="E20" s="206" t="s">
        <v>722</v>
      </c>
      <c r="F20" s="206" t="s">
        <v>791</v>
      </c>
      <c r="G20" s="206" t="s">
        <v>723</v>
      </c>
      <c r="H20" s="206" t="s">
        <v>724</v>
      </c>
      <c r="I20" s="206" t="s">
        <v>724</v>
      </c>
    </row>
    <row r="21" spans="1:9">
      <c r="A21" s="352" t="s">
        <v>745</v>
      </c>
      <c r="B21" s="207" t="s">
        <v>694</v>
      </c>
      <c r="C21" s="207" t="s">
        <v>746</v>
      </c>
      <c r="D21" s="207" t="s">
        <v>747</v>
      </c>
      <c r="E21" s="207" t="s">
        <v>747</v>
      </c>
      <c r="F21" s="207"/>
      <c r="G21" s="207" t="s">
        <v>748</v>
      </c>
      <c r="H21" s="207" t="s">
        <v>749</v>
      </c>
      <c r="I21" s="207" t="s">
        <v>749</v>
      </c>
    </row>
    <row r="22" spans="1:9">
      <c r="A22" s="352"/>
      <c r="B22" s="207" t="s">
        <v>695</v>
      </c>
      <c r="C22" s="207" t="s">
        <v>750</v>
      </c>
      <c r="D22" s="207" t="s">
        <v>750</v>
      </c>
      <c r="E22" s="207" t="s">
        <v>750</v>
      </c>
      <c r="F22" s="207"/>
      <c r="G22" s="207" t="s">
        <v>751</v>
      </c>
      <c r="H22" s="207" t="s">
        <v>752</v>
      </c>
      <c r="I22" s="207" t="s">
        <v>752</v>
      </c>
    </row>
    <row r="23" spans="1:9">
      <c r="A23" s="349" t="s">
        <v>792</v>
      </c>
      <c r="B23" s="206" t="s">
        <v>694</v>
      </c>
      <c r="C23" s="206" t="s">
        <v>667</v>
      </c>
      <c r="D23" s="206" t="s">
        <v>667</v>
      </c>
      <c r="E23" s="206" t="s">
        <v>725</v>
      </c>
      <c r="F23" s="206" t="s">
        <v>725</v>
      </c>
      <c r="G23" s="206" t="s">
        <v>726</v>
      </c>
      <c r="H23" s="206" t="s">
        <v>727</v>
      </c>
      <c r="I23" s="206" t="s">
        <v>727</v>
      </c>
    </row>
    <row r="24" spans="1:9">
      <c r="A24" s="349"/>
      <c r="B24" s="206" t="s">
        <v>695</v>
      </c>
      <c r="C24" s="206" t="s">
        <v>668</v>
      </c>
      <c r="D24" s="206" t="s">
        <v>668</v>
      </c>
      <c r="E24" s="206" t="s">
        <v>728</v>
      </c>
      <c r="F24" s="206" t="s">
        <v>728</v>
      </c>
      <c r="G24" s="206" t="s">
        <v>729</v>
      </c>
      <c r="H24" s="206" t="s">
        <v>730</v>
      </c>
      <c r="I24" s="206" t="s">
        <v>730</v>
      </c>
    </row>
    <row r="25" spans="1:9">
      <c r="A25" s="350" t="s">
        <v>793</v>
      </c>
      <c r="B25" s="207" t="s">
        <v>694</v>
      </c>
      <c r="C25" s="207" t="s">
        <v>459</v>
      </c>
      <c r="D25" s="207" t="s">
        <v>459</v>
      </c>
      <c r="E25" s="207" t="s">
        <v>459</v>
      </c>
      <c r="F25" s="207" t="s">
        <v>455</v>
      </c>
      <c r="G25" s="207" t="s">
        <v>390</v>
      </c>
      <c r="H25" s="207" t="s">
        <v>390</v>
      </c>
      <c r="I25" s="207" t="s">
        <v>390</v>
      </c>
    </row>
    <row r="26" spans="1:9">
      <c r="A26" s="350"/>
      <c r="B26" s="207" t="s">
        <v>695</v>
      </c>
      <c r="C26" s="207" t="s">
        <v>729</v>
      </c>
      <c r="D26" s="207" t="s">
        <v>729</v>
      </c>
      <c r="E26" s="207" t="s">
        <v>729</v>
      </c>
      <c r="F26" s="207" t="s">
        <v>729</v>
      </c>
      <c r="G26" s="207" t="s">
        <v>731</v>
      </c>
      <c r="H26" s="207" t="s">
        <v>759</v>
      </c>
      <c r="I26" s="207" t="s">
        <v>759</v>
      </c>
    </row>
    <row r="27" spans="1:9">
      <c r="A27" s="351" t="s">
        <v>794</v>
      </c>
      <c r="B27" s="206" t="s">
        <v>694</v>
      </c>
      <c r="C27" s="206"/>
      <c r="D27" s="206"/>
      <c r="E27" s="206"/>
      <c r="F27" s="206" t="s">
        <v>795</v>
      </c>
      <c r="G27" s="206"/>
      <c r="H27" s="206"/>
      <c r="I27" s="206" t="s">
        <v>760</v>
      </c>
    </row>
    <row r="28" spans="1:9">
      <c r="A28" s="351"/>
      <c r="B28" s="206" t="s">
        <v>695</v>
      </c>
      <c r="C28" s="206"/>
      <c r="D28" s="206"/>
      <c r="E28" s="206"/>
      <c r="F28" s="206" t="s">
        <v>796</v>
      </c>
      <c r="G28" s="206"/>
      <c r="H28" s="206"/>
      <c r="I28" s="206" t="s">
        <v>761</v>
      </c>
    </row>
    <row r="29" spans="1:9">
      <c r="A29" s="352" t="s">
        <v>799</v>
      </c>
      <c r="B29" s="207" t="s">
        <v>694</v>
      </c>
      <c r="C29" s="207" t="s">
        <v>457</v>
      </c>
      <c r="D29" s="207" t="s">
        <v>457</v>
      </c>
      <c r="E29" s="207" t="s">
        <v>457</v>
      </c>
      <c r="F29" s="207" t="s">
        <v>753</v>
      </c>
      <c r="G29" s="207" t="s">
        <v>754</v>
      </c>
      <c r="H29" s="207" t="s">
        <v>755</v>
      </c>
      <c r="I29" s="207" t="s">
        <v>755</v>
      </c>
    </row>
    <row r="30" spans="1:9">
      <c r="A30" s="352"/>
      <c r="B30" s="207" t="s">
        <v>695</v>
      </c>
      <c r="C30" s="207" t="s">
        <v>756</v>
      </c>
      <c r="D30" s="207" t="s">
        <v>756</v>
      </c>
      <c r="E30" s="207" t="s">
        <v>756</v>
      </c>
      <c r="F30" s="207" t="s">
        <v>668</v>
      </c>
      <c r="G30" s="207" t="s">
        <v>757</v>
      </c>
      <c r="H30" s="207" t="s">
        <v>758</v>
      </c>
      <c r="I30" s="207" t="s">
        <v>758</v>
      </c>
    </row>
    <row r="31" spans="1:9" ht="18" customHeight="1"/>
    <row r="32" spans="1:9" ht="18" customHeight="1"/>
    <row r="33" ht="18" customHeight="1"/>
    <row r="34" ht="18" customHeight="1"/>
    <row r="35" ht="18" customHeight="1"/>
    <row r="36" ht="18" customHeight="1"/>
  </sheetData>
  <mergeCells count="13">
    <mergeCell ref="A15:A16"/>
    <mergeCell ref="A17:A18"/>
    <mergeCell ref="A19:A20"/>
    <mergeCell ref="A1:I1"/>
    <mergeCell ref="A7:A8"/>
    <mergeCell ref="A9:A10"/>
    <mergeCell ref="A11:A12"/>
    <mergeCell ref="A13:A14"/>
    <mergeCell ref="A23:A24"/>
    <mergeCell ref="A25:A26"/>
    <mergeCell ref="A27:A28"/>
    <mergeCell ref="A29:A30"/>
    <mergeCell ref="A21:A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9617e-72c7-4021-aef4-78f9626f9285}" enabled="0" method="" siteId="{3a59617e-72c7-4021-aef4-78f9626f92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TP Overview</vt:lpstr>
      <vt:lpstr>51923 TP Flashmap</vt:lpstr>
      <vt:lpstr>51926 TP Flashmap</vt:lpstr>
      <vt:lpstr>51927 TP Flashmap</vt:lpstr>
      <vt:lpstr>51929&amp;51932 TP Flashmap</vt:lpstr>
      <vt:lpstr>51930 TP Flashmap</vt:lpstr>
      <vt:lpstr>51950&amp;51951 TP Flashmap</vt:lpstr>
      <vt:lpstr>51950 DP Perspective</vt:lpstr>
      <vt:lpstr>TP Address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Liu(劉尚賢)</dc:creator>
  <cp:lastModifiedBy>尚賢 劉</cp:lastModifiedBy>
  <dcterms:created xsi:type="dcterms:W3CDTF">2015-06-05T18:17:20Z</dcterms:created>
  <dcterms:modified xsi:type="dcterms:W3CDTF">2026-07-29T20:23:56Z</dcterms:modified>
</cp:coreProperties>
</file>